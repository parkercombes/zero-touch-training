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ardware" sheetId="2" state="visible" r:id="rId2"/>
    <sheet xmlns:r="http://schemas.openxmlformats.org/officeDocument/2006/relationships" name="Software" sheetId="3" state="visible" r:id="rId3"/>
    <sheet xmlns:r="http://schemas.openxmlformats.org/officeDocument/2006/relationships" name="Sizing Rationale" sheetId="4" state="visible" r:id="rId4"/>
    <sheet xmlns:r="http://schemas.openxmlformats.org/officeDocument/2006/relationships" name="Alternatives" sheetId="5" state="visible" r:id="rId5"/>
    <sheet xmlns:r="http://schemas.openxmlformats.org/officeDocument/2006/relationships" name="Cloud Comparis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&quot; GB&quot;"/>
    <numFmt numFmtId="166" formatCode="&quot;$&quot;#,##0"/>
  </numFmts>
  <fonts count="33">
    <font>
      <name val="Calibri"/>
      <family val="2"/>
      <color theme="1"/>
      <sz val="11"/>
      <scheme val="minor"/>
    </font>
    <font>
      <name val="Arial"/>
      <b val="1"/>
      <color rgb="00033D80"/>
      <sz val="18"/>
    </font>
    <font>
      <name val="Arial"/>
      <color rgb="001A3A5C"/>
      <sz val="12"/>
    </font>
    <font>
      <name val="Arial"/>
      <i val="1"/>
      <color rgb="00666666"/>
      <sz val="10"/>
    </font>
    <font>
      <name val="Arial"/>
      <b val="1"/>
      <color rgb="00FFFFFF"/>
      <sz val="10"/>
    </font>
    <font>
      <name val="Arial"/>
      <b val="1"/>
      <color rgb="001A1A2E"/>
      <sz val="10"/>
    </font>
    <font>
      <name val="Arial"/>
      <color rgb="001A1A2E"/>
      <sz val="10"/>
    </font>
    <font>
      <name val="Arial"/>
      <b val="1"/>
      <color rgb="00FFFFFF"/>
      <sz val="11"/>
    </font>
    <font>
      <name val="Arial"/>
      <color rgb="00FFFFFF"/>
      <sz val="10"/>
    </font>
    <font>
      <name val="Arial"/>
      <b val="1"/>
      <color rgb="001A3A5C"/>
      <sz val="11"/>
    </font>
    <font>
      <name val="Arial"/>
      <color rgb="00666666"/>
      <sz val="9.5"/>
    </font>
    <font>
      <name val="Arial"/>
      <b val="1"/>
      <color rgb="00FFFFFF"/>
      <sz val="12"/>
    </font>
    <font>
      <name val="Arial"/>
      <b val="1"/>
      <color rgb="001A3A5C"/>
      <sz val="10"/>
    </font>
    <font>
      <name val="Arial"/>
      <b val="1"/>
      <color rgb="00107E3E"/>
      <sz val="10"/>
    </font>
    <font>
      <name val="Arial"/>
      <i val="1"/>
      <color rgb="001A1A2E"/>
      <sz val="9"/>
    </font>
    <font>
      <name val="Arial"/>
      <b val="1"/>
      <color rgb="00E87600"/>
      <sz val="10"/>
    </font>
    <font>
      <name val="Arial"/>
      <b val="1"/>
      <color rgb="00107E3E"/>
      <sz val="12"/>
    </font>
    <font>
      <name val="Arial"/>
      <i val="1"/>
      <color rgb="00FFFFFF"/>
      <sz val="9"/>
    </font>
    <font>
      <name val="Arial"/>
      <i val="1"/>
      <color rgb="001A1A2E"/>
      <sz val="9.5"/>
    </font>
    <font>
      <name val="Arial"/>
      <color rgb="001A1A2E"/>
      <sz val="9.5"/>
    </font>
    <font>
      <name val="Arial"/>
      <color rgb="00107E3E"/>
      <sz val="10"/>
    </font>
    <font>
      <name val="Arial"/>
      <color rgb="00E87600"/>
      <sz val="10"/>
    </font>
    <font>
      <name val="Arial"/>
      <b val="1"/>
      <color rgb="00C0392B"/>
      <sz val="10"/>
    </font>
    <font>
      <name val="Arial"/>
      <color rgb="00C0392B"/>
      <sz val="9"/>
    </font>
    <font>
      <name val="Arial"/>
      <color rgb="00E87600"/>
      <sz val="9"/>
    </font>
    <font>
      <name val="Arial"/>
      <color rgb="00107E3E"/>
      <sz val="9"/>
    </font>
    <font>
      <name val="Arial"/>
      <b val="1"/>
      <color rgb="00033D80"/>
      <sz val="10"/>
    </font>
    <font>
      <name val="Arial"/>
      <b val="1"/>
      <color rgb="00033D80"/>
      <sz val="9"/>
    </font>
    <font>
      <name val="Arial"/>
      <i val="1"/>
      <color rgb="00666666"/>
      <sz val="9"/>
    </font>
    <font>
      <name val="Arial"/>
      <color rgb="00666666"/>
      <sz val="10"/>
    </font>
    <font>
      <name val="Arial"/>
      <i val="1"/>
      <color rgb="00666666"/>
      <sz val="9.5"/>
    </font>
    <font>
      <name val="Arial"/>
      <color rgb="001A1A2E"/>
      <sz val="9"/>
    </font>
    <font>
      <name val="Arial"/>
      <i val="1"/>
      <color rgb="001A3A5C"/>
      <sz val="9.5"/>
    </font>
  </fonts>
  <fills count="11">
    <fill>
      <patternFill/>
    </fill>
    <fill>
      <patternFill patternType="gray125"/>
    </fill>
    <fill>
      <patternFill patternType="solid">
        <fgColor rgb="00033D80"/>
      </patternFill>
    </fill>
    <fill>
      <patternFill patternType="solid">
        <fgColor rgb="00F5F8FC"/>
      </patternFill>
    </fill>
    <fill>
      <patternFill patternType="solid">
        <fgColor rgb="00FFFFFF"/>
      </patternFill>
    </fill>
    <fill>
      <patternFill patternType="solid">
        <fgColor rgb="001A3A5C"/>
      </patternFill>
    </fill>
    <fill>
      <patternFill patternType="solid">
        <fgColor rgb="00D0E4FF"/>
      </patternFill>
    </fill>
    <fill>
      <patternFill patternType="solid">
        <fgColor rgb="00EBF3FB"/>
      </patternFill>
    </fill>
    <fill>
      <patternFill patternType="solid">
        <fgColor rgb="00E6F4EA"/>
      </patternFill>
    </fill>
    <fill>
      <patternFill patternType="solid">
        <fgColor rgb="00FFF4E5"/>
      </patternFill>
    </fill>
    <fill>
      <patternFill patternType="solid">
        <fgColor rgb="00FDE8E8"/>
      </patternFill>
    </fill>
  </fills>
  <borders count="8">
    <border>
      <left/>
      <right/>
      <top/>
      <bottom/>
      <diagonal/>
    </border>
    <border>
      <bottom style="medium">
        <color rgb="00033D80"/>
      </bottom>
    </border>
    <border>
      <left style="thin">
        <color rgb="00033D80"/>
      </left>
      <right style="thin">
        <color rgb="00033D80"/>
      </right>
      <top style="thin">
        <color rgb="00033D80"/>
      </top>
      <bottom style="thin">
        <color rgb="00033D80"/>
      </bottom>
    </border>
    <border>
      <left style="thin">
        <color rgb="00DEE3EA"/>
      </left>
      <right style="thin">
        <color rgb="00DEE3EA"/>
      </right>
      <top style="thin">
        <color rgb="00DEE3EA"/>
      </top>
      <bottom style="thin">
        <color rgb="00DEE3EA"/>
      </bottom>
    </border>
    <border>
      <left/>
      <right/>
      <top style="thin">
        <color rgb="00033D80"/>
      </top>
      <bottom/>
      <diagonal/>
    </border>
    <border>
      <left/>
      <right style="thin">
        <color rgb="00033D80"/>
      </right>
      <top style="thin">
        <color rgb="00033D80"/>
      </top>
      <bottom/>
      <diagonal/>
    </border>
    <border>
      <left/>
      <right/>
      <top style="thin">
        <color rgb="00033D80"/>
      </top>
      <bottom style="thin">
        <color rgb="00033D80"/>
      </bottom>
      <diagonal/>
    </border>
    <border>
      <left/>
      <right style="thin">
        <color rgb="00033D80"/>
      </right>
      <top style="thin">
        <color rgb="00033D80"/>
      </top>
      <bottom style="thin">
        <color rgb="00033D80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0" fillId="0" borderId="1" pivotButton="0" quotePrefix="0" xfId="0"/>
    <xf numFmtId="0" fontId="4" fillId="2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left" vertical="center"/>
    </xf>
    <xf numFmtId="0" fontId="6" fillId="3" borderId="3" applyAlignment="1" pivotButton="0" quotePrefix="0" xfId="0">
      <alignment horizontal="left" vertical="center"/>
    </xf>
    <xf numFmtId="0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/>
    </xf>
    <xf numFmtId="0" fontId="6" fillId="4" borderId="3" applyAlignment="1" pivotButton="0" quotePrefix="0" xfId="0">
      <alignment horizontal="left" vertical="center"/>
    </xf>
    <xf numFmtId="0" fontId="6" fillId="4" borderId="3" applyAlignment="1" pivotButton="0" quotePrefix="0" xfId="0">
      <alignment horizontal="center" vertical="center"/>
    </xf>
    <xf numFmtId="164" fontId="6" fillId="4" borderId="3" applyAlignment="1" pivotButton="0" quotePrefix="0" xfId="0">
      <alignment horizontal="right" vertical="center"/>
    </xf>
    <xf numFmtId="0" fontId="7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164" fontId="7" fillId="5" borderId="3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wrapText="1"/>
    </xf>
    <xf numFmtId="164" fontId="5" fillId="3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wrapText="1"/>
    </xf>
    <xf numFmtId="164" fontId="5" fillId="4" borderId="3" applyAlignment="1" pivotButton="0" quotePrefix="0" xfId="0">
      <alignment horizontal="right" vertical="center"/>
    </xf>
    <xf numFmtId="0" fontId="12" fillId="7" borderId="2" applyAlignment="1" pivotButton="0" quotePrefix="0" xfId="0">
      <alignment horizontal="right" vertical="center"/>
    </xf>
    <xf numFmtId="164" fontId="12" fillId="7" borderId="3" applyAlignment="1" pivotButton="0" quotePrefix="0" xfId="0">
      <alignment horizontal="right" vertical="center"/>
    </xf>
    <xf numFmtId="0" fontId="0" fillId="7" borderId="2" pivotButton="0" quotePrefix="0" xfId="0"/>
    <xf numFmtId="0" fontId="11" fillId="2" borderId="2" applyAlignment="1" pivotButton="0" quotePrefix="0" xfId="0">
      <alignment horizontal="right" vertical="center"/>
    </xf>
    <xf numFmtId="164" fontId="11" fillId="2" borderId="3" applyAlignment="1" pivotButton="0" quotePrefix="0" xfId="0">
      <alignment horizontal="right" vertical="center"/>
    </xf>
    <xf numFmtId="0" fontId="0" fillId="2" borderId="2" pivotButton="0" quotePrefix="0" xfId="0"/>
    <xf numFmtId="0" fontId="5" fillId="3" borderId="3" applyAlignment="1" pivotButton="0" quotePrefix="0" xfId="0">
      <alignment horizontal="left" vertical="center" wrapText="1"/>
    </xf>
    <xf numFmtId="0" fontId="13" fillId="8" borderId="3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left" vertical="center" wrapText="1"/>
    </xf>
    <xf numFmtId="0" fontId="14" fillId="4" borderId="3" applyAlignment="1" pivotButton="0" quotePrefix="0" xfId="0">
      <alignment horizontal="left" vertical="center" wrapText="1"/>
    </xf>
    <xf numFmtId="0" fontId="15" fillId="9" borderId="3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right" vertical="center"/>
    </xf>
    <xf numFmtId="164" fontId="16" fillId="8" borderId="3" applyAlignment="1" pivotButton="0" quotePrefix="0" xfId="0">
      <alignment horizontal="right" vertical="center"/>
    </xf>
    <xf numFmtId="0" fontId="0" fillId="8" borderId="2" pivotButton="0" quotePrefix="0" xfId="0"/>
    <xf numFmtId="0" fontId="9" fillId="6" borderId="2" applyAlignment="1" pivotButton="0" quotePrefix="0" xfId="0">
      <alignment horizontal="left" vertical="center"/>
    </xf>
    <xf numFmtId="165" fontId="5" fillId="3" borderId="3" applyAlignment="1" pivotButton="0" quotePrefix="0" xfId="0">
      <alignment horizontal="center" vertical="center"/>
    </xf>
    <xf numFmtId="0" fontId="14" fillId="3" borderId="3" applyAlignment="1" pivotButton="0" quotePrefix="0" xfId="0">
      <alignment horizontal="left" vertical="center"/>
    </xf>
    <xf numFmtId="165" fontId="5" fillId="4" borderId="3" applyAlignment="1" pivotButton="0" quotePrefix="0" xfId="0">
      <alignment horizontal="center" vertical="center"/>
    </xf>
    <xf numFmtId="0" fontId="14" fillId="4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/>
    </xf>
    <xf numFmtId="165" fontId="5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left" vertical="center"/>
    </xf>
    <xf numFmtId="0" fontId="4" fillId="5" borderId="3" applyAlignment="1" pivotButton="0" quotePrefix="0" xfId="0">
      <alignment horizontal="left" vertical="center"/>
    </xf>
    <xf numFmtId="165" fontId="4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3" borderId="3" applyAlignment="1" pivotButton="0" quotePrefix="0" xfId="0">
      <alignment horizontal="left" vertical="center" wrapText="1"/>
    </xf>
    <xf numFmtId="0" fontId="18" fillId="4" borderId="3" applyAlignment="1" pivotButton="0" quotePrefix="0" xfId="0">
      <alignment horizontal="left" vertical="center" wrapText="1"/>
    </xf>
    <xf numFmtId="0" fontId="12" fillId="7" borderId="3" applyAlignment="1" pivotButton="0" quotePrefix="0" xfId="0">
      <alignment horizontal="left" vertical="center" wrapText="1"/>
    </xf>
    <xf numFmtId="0" fontId="19" fillId="7" borderId="3" applyAlignment="1" pivotButton="0" quotePrefix="0" xfId="0">
      <alignment horizontal="left" vertical="center" wrapText="1"/>
    </xf>
    <xf numFmtId="0" fontId="5" fillId="7" borderId="3" applyAlignment="1" pivotButton="0" quotePrefix="0" xfId="0">
      <alignment horizontal="center" vertical="center"/>
    </xf>
    <xf numFmtId="0" fontId="20" fillId="7" borderId="3" applyAlignment="1" pivotButton="0" quotePrefix="0" xfId="0">
      <alignment horizontal="center" vertical="center"/>
    </xf>
    <xf numFmtId="0" fontId="18" fillId="7" borderId="3" applyAlignment="1" pivotButton="0" quotePrefix="0" xfId="0">
      <alignment horizontal="left" vertical="center" wrapText="1"/>
    </xf>
    <xf numFmtId="0" fontId="19" fillId="4" borderId="3" applyAlignment="1" pivotButton="0" quotePrefix="0" xfId="0">
      <alignment horizontal="left" vertical="center" wrapText="1"/>
    </xf>
    <xf numFmtId="0" fontId="20" fillId="4" borderId="3" applyAlignment="1" pivotButton="0" quotePrefix="0" xfId="0">
      <alignment horizontal="center" vertical="center"/>
    </xf>
    <xf numFmtId="0" fontId="19" fillId="3" borderId="3" applyAlignment="1" pivotButton="0" quotePrefix="0" xfId="0">
      <alignment horizontal="left" vertical="center" wrapText="1"/>
    </xf>
    <xf numFmtId="0" fontId="20" fillId="3" borderId="3" applyAlignment="1" pivotButton="0" quotePrefix="0" xfId="0">
      <alignment horizontal="center" vertical="center"/>
    </xf>
    <xf numFmtId="0" fontId="21" fillId="4" borderId="3" applyAlignment="1" pivotButton="0" quotePrefix="0" xfId="0">
      <alignment horizontal="center" vertical="center"/>
    </xf>
    <xf numFmtId="0" fontId="21" fillId="3" borderId="3" applyAlignment="1" pivotButton="0" quotePrefix="0" xfId="0">
      <alignment horizontal="center" vertical="center"/>
    </xf>
    <xf numFmtId="0" fontId="6" fillId="10" borderId="3" applyAlignment="1" pivotButton="0" quotePrefix="0" xfId="0">
      <alignment horizontal="left" vertical="center"/>
    </xf>
    <xf numFmtId="0" fontId="19" fillId="10" borderId="3" applyAlignment="1" pivotButton="0" quotePrefix="0" xfId="0">
      <alignment horizontal="left" vertical="center" wrapText="1"/>
    </xf>
    <xf numFmtId="0" fontId="6" fillId="10" borderId="3" applyAlignment="1" pivotButton="0" quotePrefix="0" xfId="0">
      <alignment horizontal="center" vertical="center"/>
    </xf>
    <xf numFmtId="0" fontId="22" fillId="10" borderId="3" applyAlignment="1" pivotButton="0" quotePrefix="0" xfId="0">
      <alignment horizontal="center" vertical="center"/>
    </xf>
    <xf numFmtId="166" fontId="22" fillId="10" borderId="3" applyAlignment="1" pivotButton="0" quotePrefix="0" xfId="0">
      <alignment horizontal="right" vertical="center"/>
    </xf>
    <xf numFmtId="0" fontId="22" fillId="10" borderId="3" applyAlignment="1" pivotButton="0" quotePrefix="0" xfId="0">
      <alignment horizontal="right" vertical="center"/>
    </xf>
    <xf numFmtId="0" fontId="23" fillId="10" borderId="3" applyAlignment="1" pivotButton="0" quotePrefix="0" xfId="0">
      <alignment horizontal="center" vertical="center"/>
    </xf>
    <xf numFmtId="0" fontId="15" fillId="9" borderId="3" applyAlignment="1" pivotButton="0" quotePrefix="0" xfId="0">
      <alignment horizontal="center" vertical="center"/>
    </xf>
    <xf numFmtId="166" fontId="15" fillId="9" borderId="3" applyAlignment="1" pivotButton="0" quotePrefix="0" xfId="0">
      <alignment horizontal="right" vertical="center"/>
    </xf>
    <xf numFmtId="0" fontId="15" fillId="9" borderId="3" applyAlignment="1" pivotButton="0" quotePrefix="0" xfId="0">
      <alignment horizontal="right" vertical="center"/>
    </xf>
    <xf numFmtId="0" fontId="24" fillId="9" borderId="3" applyAlignment="1" pivotButton="0" quotePrefix="0" xfId="0">
      <alignment horizontal="center" vertical="center"/>
    </xf>
    <xf numFmtId="0" fontId="20" fillId="3" borderId="3" applyAlignment="1" pivotButton="0" quotePrefix="0" xfId="0">
      <alignment horizontal="left" vertical="center"/>
    </xf>
    <xf numFmtId="0" fontId="13" fillId="8" borderId="3" applyAlignment="1" pivotButton="0" quotePrefix="0" xfId="0">
      <alignment horizontal="center" vertical="center"/>
    </xf>
    <xf numFmtId="166" fontId="13" fillId="8" borderId="3" applyAlignment="1" pivotButton="0" quotePrefix="0" xfId="0">
      <alignment horizontal="right" vertical="center"/>
    </xf>
    <xf numFmtId="0" fontId="13" fillId="8" borderId="3" applyAlignment="1" pivotButton="0" quotePrefix="0" xfId="0">
      <alignment horizontal="right" vertical="center"/>
    </xf>
    <xf numFmtId="0" fontId="25" fillId="8" borderId="3" applyAlignment="1" pivotButton="0" quotePrefix="0" xfId="0">
      <alignment horizontal="center" vertical="center"/>
    </xf>
    <xf numFmtId="0" fontId="20" fillId="4" borderId="3" applyAlignment="1" pivotButton="0" quotePrefix="0" xfId="0">
      <alignment horizontal="left" vertical="center"/>
    </xf>
    <xf numFmtId="0" fontId="26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7" fillId="6" borderId="3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 wrapText="1"/>
    </xf>
    <xf numFmtId="0" fontId="29" fillId="3" borderId="3" applyAlignment="1" pivotButton="0" quotePrefix="0" xfId="0">
      <alignment horizontal="center" vertical="center"/>
    </xf>
    <xf numFmtId="0" fontId="5" fillId="3" borderId="3" applyAlignment="1" pivotButton="0" quotePrefix="0" xfId="0">
      <alignment horizontal="right" vertical="center"/>
    </xf>
    <xf numFmtId="166" fontId="5" fillId="9" borderId="3" applyAlignment="1" pivotButton="0" quotePrefix="0" xfId="0">
      <alignment horizontal="right" vertical="center"/>
    </xf>
    <xf numFmtId="166" fontId="22" fillId="9" borderId="3" applyAlignment="1" pivotButton="0" quotePrefix="0" xfId="0">
      <alignment horizontal="right" vertical="center"/>
    </xf>
    <xf numFmtId="0" fontId="24" fillId="3" borderId="3" applyAlignment="1" pivotButton="0" quotePrefix="0" xfId="0">
      <alignment horizontal="center" vertical="center"/>
    </xf>
    <xf numFmtId="0" fontId="30" fillId="3" borderId="3" applyAlignment="1" pivotButton="0" quotePrefix="0" xfId="0">
      <alignment horizontal="left" vertical="center" wrapText="1"/>
    </xf>
    <xf numFmtId="0" fontId="29" fillId="4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right" vertical="center"/>
    </xf>
    <xf numFmtId="166" fontId="5" fillId="10" borderId="3" applyAlignment="1" pivotButton="0" quotePrefix="0" xfId="0">
      <alignment horizontal="right" vertical="center"/>
    </xf>
    <xf numFmtId="0" fontId="24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left" vertical="center" wrapText="1"/>
    </xf>
    <xf numFmtId="166" fontId="5" fillId="8" borderId="3" applyAlignment="1" pivotButton="0" quotePrefix="0" xfId="0">
      <alignment horizontal="right" vertical="center"/>
    </xf>
    <xf numFmtId="0" fontId="31" fillId="4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left" vertical="center"/>
    </xf>
    <xf numFmtId="0" fontId="25" fillId="7" borderId="3" applyAlignment="1" pivotButton="0" quotePrefix="0" xfId="0">
      <alignment horizontal="center" vertical="center"/>
    </xf>
    <xf numFmtId="0" fontId="32" fillId="7" borderId="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8" customWidth="1" min="3" max="3"/>
    <col width="16" customWidth="1" min="4" max="4"/>
    <col width="16" customWidth="1" min="5" max="5"/>
    <col width="4" customWidth="1" min="6" max="6"/>
  </cols>
  <sheetData>
    <row r="1" ht="6" customHeight="1"/>
    <row r="2" ht="32" customHeight="1">
      <c r="B2" s="1" t="inlineStr">
        <is>
          <t>Zero-Touch Training — Phase 4 Infrastructure BOM</t>
        </is>
      </c>
    </row>
    <row r="3" ht="20" customHeight="1">
      <c r="B3" s="2" t="inlineStr">
        <is>
          <t>Containerized Docker Sandbox  ·  Maximum 10 Concurrent Users</t>
        </is>
      </c>
    </row>
    <row r="4" ht="16" customHeight="1">
      <c r="B4" s="3" t="inlineStr">
        <is>
          <t>Prepared: March 25, 2026</t>
        </is>
      </c>
    </row>
    <row r="5" ht="16" customHeight="1">
      <c r="B5" s="3" t="inlineStr">
        <is>
          <t>Scope: Compute, storage, networking, power protection, and software for a self-hosted training lab</t>
        </is>
      </c>
    </row>
    <row r="6" ht="16" customHeight="1"/>
    <row r="7" ht="10" customHeight="1">
      <c r="B7" s="4" t="n"/>
      <c r="C7" s="4" t="n"/>
      <c r="D7" s="4" t="n"/>
      <c r="E7" s="4" t="n"/>
    </row>
    <row r="9" ht="18" customHeight="1">
      <c r="B9" s="5" t="inlineStr">
        <is>
          <t>Category</t>
        </is>
      </c>
      <c r="C9" s="5" t="inlineStr">
        <is>
          <t>Description</t>
        </is>
      </c>
      <c r="D9" s="6" t="inlineStr">
        <is>
          <t>Item Count</t>
        </is>
      </c>
      <c r="E9" s="6" t="inlineStr">
        <is>
          <t>Subtotal</t>
        </is>
      </c>
    </row>
    <row r="10" ht="14" customHeight="1">
      <c r="B10" s="7" t="inlineStr">
        <is>
          <t>Compute</t>
        </is>
      </c>
      <c r="C10" s="8" t="inlineStr">
        <is>
          <t>Server, RAM, primary storage</t>
        </is>
      </c>
      <c r="D10" s="9" t="inlineStr"/>
      <c r="E10" s="10">
        <f>Hardware!G3</f>
        <v/>
      </c>
    </row>
    <row r="11">
      <c r="B11" s="11" t="inlineStr">
        <is>
          <t>Storage</t>
        </is>
      </c>
      <c r="C11" s="12" t="inlineStr">
        <is>
          <t>Backup / media drive</t>
        </is>
      </c>
      <c r="D11" s="13" t="inlineStr"/>
      <c r="E11" s="14">
        <f>Hardware!G4</f>
        <v/>
      </c>
    </row>
    <row r="12">
      <c r="B12" s="7" t="inlineStr">
        <is>
          <t>Networking</t>
        </is>
      </c>
      <c r="C12" s="8" t="inlineStr">
        <is>
          <t>Switch, cables, WiFi access point</t>
        </is>
      </c>
      <c r="D12" s="9" t="inlineStr"/>
      <c r="E12" s="10">
        <f>Hardware!G5</f>
        <v/>
      </c>
    </row>
    <row r="13">
      <c r="B13" s="11" t="inlineStr">
        <is>
          <t>Power</t>
        </is>
      </c>
      <c r="C13" s="12" t="inlineStr">
        <is>
          <t>UPS battery backup</t>
        </is>
      </c>
      <c r="D13" s="13" t="inlineStr"/>
      <c r="E13" s="14">
        <f>Hardware!G6</f>
        <v/>
      </c>
    </row>
    <row r="14">
      <c r="B14" s="7" t="inlineStr">
        <is>
          <t>Setup</t>
        </is>
      </c>
      <c r="C14" s="8" t="inlineStr">
        <is>
          <t>Display and input (one-time only)</t>
        </is>
      </c>
      <c r="D14" s="9" t="inlineStr"/>
      <c r="E14" s="10">
        <f>Hardware!G7</f>
        <v/>
      </c>
    </row>
    <row r="15">
      <c r="B15" s="11" t="inlineStr">
        <is>
          <t>Software</t>
        </is>
      </c>
      <c r="C15" s="12" t="inlineStr">
        <is>
          <t>Licenses — all open source / free</t>
        </is>
      </c>
      <c r="D15" s="13" t="inlineStr"/>
      <c r="E15" s="14">
        <f>Software!E3</f>
        <v/>
      </c>
    </row>
    <row r="16" ht="20" customHeight="1">
      <c r="B16" s="15" t="inlineStr">
        <is>
          <t>TOTAL</t>
        </is>
      </c>
      <c r="C16" s="16" t="inlineStr">
        <is>
          <t>All categories</t>
        </is>
      </c>
      <c r="D16" s="17" t="inlineStr"/>
      <c r="E16" s="18">
        <f>SUM(E10:E15)</f>
        <v/>
      </c>
    </row>
    <row r="19">
      <c r="B19" s="19" t="inlineStr">
        <is>
          <t>Notes</t>
        </is>
      </c>
    </row>
    <row r="20" ht="15" customHeight="1">
      <c r="B20" s="20" t="inlineStr">
        <is>
          <t>• All software components are open source (MIT / Apache 2.0 / GPL). No ongoing license fees.</t>
        </is>
      </c>
    </row>
    <row r="21" ht="15" customHeight="1">
      <c r="B21" s="20" t="inlineStr">
        <is>
          <t>• Prices are US market estimates (March 2026). New units unless noted as refurbished.</t>
        </is>
      </c>
    </row>
    <row r="22" ht="15" customHeight="1">
      <c r="B22" s="20" t="inlineStr">
        <is>
          <t>• Cloud alternative: equivalent capacity on DigitalOcean / Hetzner runs $60–90/month opex.</t>
        </is>
      </c>
    </row>
    <row r="23" ht="15" customHeight="1">
      <c r="B23" s="20" t="inlineStr">
        <is>
          <t>• UPS runtime at full load (~300W): approximately 12–15 minutes — sufficient for graceful shutdown.</t>
        </is>
      </c>
    </row>
    <row r="24" ht="15" customHeight="1">
      <c r="B24" s="20" t="inlineStr">
        <is>
          <t>• WiFi access point is optional if learners connect via wired terminals.</t>
        </is>
      </c>
    </row>
    <row r="25" ht="15" customHeight="1">
      <c r="B25" s="20" t="inlineStr">
        <is>
          <t>• Setup peripherals (monitor, keyboard) are one-time and can be repurposed after initial config.</t>
        </is>
      </c>
    </row>
  </sheetData>
  <mergeCells count="13">
    <mergeCell ref="B20:E20"/>
    <mergeCell ref="B23:E23"/>
    <mergeCell ref="B4:E4"/>
    <mergeCell ref="B6:E6"/>
    <mergeCell ref="B21:E21"/>
    <mergeCell ref="B7:E7"/>
    <mergeCell ref="B25:E25"/>
    <mergeCell ref="B3:E3"/>
    <mergeCell ref="B5:E5"/>
    <mergeCell ref="B2:E2"/>
    <mergeCell ref="B19:E19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28" customWidth="1" min="4" max="4"/>
    <col width="42" customWidth="1" min="5" max="5"/>
    <col width="7" customWidth="1" min="6" max="6"/>
    <col width="14" customWidth="1" min="7" max="7"/>
    <col width="14" customWidth="1" min="8" max="8"/>
    <col width="36" customWidth="1" min="9" max="9"/>
  </cols>
  <sheetData>
    <row r="1" ht="24" customHeight="1">
      <c r="B1" s="21" t="inlineStr">
        <is>
          <t>Hardware Bill of Materials — Phase 4 Docker Sandbox (Max 10 Concurrent Users)</t>
        </is>
      </c>
    </row>
    <row r="2" ht="18" customHeight="1">
      <c r="B2" s="6" t="inlineStr">
        <is>
          <t>#</t>
        </is>
      </c>
      <c r="C2" s="5" t="inlineStr">
        <is>
          <t>Category</t>
        </is>
      </c>
      <c r="D2" s="5" t="inlineStr">
        <is>
          <t>Item / Model</t>
        </is>
      </c>
      <c r="E2" s="5" t="inlineStr">
        <is>
          <t>Specifications</t>
        </is>
      </c>
      <c r="F2" s="6" t="inlineStr">
        <is>
          <t>Qty</t>
        </is>
      </c>
      <c r="G2" s="6" t="inlineStr">
        <is>
          <t>Unit Cost</t>
        </is>
      </c>
      <c r="H2" s="6" t="inlineStr">
        <is>
          <t>Total</t>
        </is>
      </c>
      <c r="I2" s="5" t="inlineStr">
        <is>
          <t>Notes / Source</t>
        </is>
      </c>
    </row>
    <row r="3" ht="16" customHeight="1">
      <c r="B3" s="22" t="inlineStr">
        <is>
          <t xml:space="preserve">  COMPUTE  —  Server, RAM, Primary Storage</t>
        </is>
      </c>
      <c r="C3" s="23" t="n"/>
      <c r="D3" s="23" t="n"/>
      <c r="E3" s="23" t="n"/>
      <c r="F3" s="23" t="n"/>
      <c r="G3" s="23" t="n"/>
      <c r="H3" s="23" t="n"/>
      <c r="I3" s="24" t="n"/>
    </row>
    <row r="4" ht="42" customHeight="1">
      <c r="B4" s="25" t="n">
        <v>1</v>
      </c>
      <c r="C4" s="8" t="inlineStr">
        <is>
          <t>Compute</t>
        </is>
      </c>
      <c r="D4" s="8" t="inlineStr">
        <is>
          <t>Mini Workstation</t>
        </is>
      </c>
      <c r="E4" s="26" t="inlineStr">
        <is>
          <t>Minisforum MS-01 (or equivalent SFF workstation)
CPU: Intel Core i9-12900H — 14 cores / 20 threads, up to 5.0 GHz
Integrated NIC: 2x 2.5GbE + 1x 10GbE
Form factor: 19.5 × 19.5 × 6.2 cm  ·  Fanless option available</t>
        </is>
      </c>
      <c r="F4" s="9" t="n">
        <v>1</v>
      </c>
      <c r="G4" s="10" t="n">
        <v>459</v>
      </c>
      <c r="H4" s="27">
        <f>F4*G4</f>
        <v/>
      </c>
      <c r="I4" s="8" t="inlineStr">
        <is>
          <t>Barebones unit — no RAM or storage included.
Alt: Used Dell Precision 3660 Tower (~$500 refurb, 12-core i7).
Source: Minisforum / Amazon (March 2026)</t>
        </is>
      </c>
    </row>
    <row r="5" ht="42" customHeight="1">
      <c r="B5" s="28" t="n">
        <v>2</v>
      </c>
      <c r="C5" s="12" t="inlineStr">
        <is>
          <t>Compute</t>
        </is>
      </c>
      <c r="D5" s="12" t="inlineStr">
        <is>
          <t>RAM — 64 GB DDR5</t>
        </is>
      </c>
      <c r="E5" s="29" t="inlineStr">
        <is>
          <t>2x 32GB DDR5-4800 SODIMM (compatible with MS-01 / NUC-class boards)
Justification: 10 containers × ~2 GB each = 20 GB active;
OS + Docker daemon + API + 30% headroom → 64 GB comfortable ceiling</t>
        </is>
      </c>
      <c r="F5" s="13" t="n">
        <v>1</v>
      </c>
      <c r="G5" s="14" t="n">
        <v>119</v>
      </c>
      <c r="H5" s="30">
        <f>F5*G5</f>
        <v/>
      </c>
      <c r="I5" s="12" t="inlineStr">
        <is>
          <t>Crucial CT2K32G48C40S5 or Corsair SODIMM DDR5 4800.
Source: Amazon / Crucial.com (March 2026)</t>
        </is>
      </c>
    </row>
    <row r="6" ht="42" customHeight="1">
      <c r="B6" s="25" t="n">
        <v>3</v>
      </c>
      <c r="C6" s="8" t="inlineStr">
        <is>
          <t>Compute</t>
        </is>
      </c>
      <c r="D6" s="8" t="inlineStr">
        <is>
          <t>Primary SSD — 1 TB NVMe</t>
        </is>
      </c>
      <c r="E6" s="26" t="inlineStr">
        <is>
          <t>1TB NVMe PCIe 4.0 SSD (M.2 2280)
Usage: OS (Ubuntu 22.04, ~20 GB) + Docker images (~15 GB) +
container ephemeral storage + scenario media (~1 GB) + logs</t>
        </is>
      </c>
      <c r="F6" s="9" t="n">
        <v>1</v>
      </c>
      <c r="G6" s="10" t="n">
        <v>79</v>
      </c>
      <c r="H6" s="27">
        <f>F6*G6</f>
        <v/>
      </c>
      <c r="I6" s="8" t="inlineStr">
        <is>
          <t>Samsung 980 Pro or WD Black SN850X.
Source: Amazon / B&amp;H (March 2026)</t>
        </is>
      </c>
    </row>
    <row r="7" ht="16" customHeight="1">
      <c r="B7" s="31" t="inlineStr">
        <is>
          <t>Compute Subtotal</t>
        </is>
      </c>
      <c r="G7" s="32">
        <f>SUM(H4:H6)</f>
        <v/>
      </c>
      <c r="H7" s="33" t="n"/>
      <c r="I7" s="33" t="n"/>
    </row>
    <row r="8" ht="16" customHeight="1">
      <c r="B8" s="22" t="inlineStr">
        <is>
          <t xml:space="preserve">  STORAGE  —  Backup / Media Drive</t>
        </is>
      </c>
      <c r="C8" s="23" t="n"/>
      <c r="D8" s="23" t="n"/>
      <c r="E8" s="23" t="n"/>
      <c r="F8" s="23" t="n"/>
      <c r="G8" s="23" t="n"/>
      <c r="H8" s="23" t="n"/>
      <c r="I8" s="24" t="n"/>
    </row>
    <row r="9" ht="42" customHeight="1">
      <c r="B9" s="25" t="n">
        <v>4</v>
      </c>
      <c r="C9" s="8" t="inlineStr">
        <is>
          <t>Storage</t>
        </is>
      </c>
      <c r="D9" s="8" t="inlineStr">
        <is>
          <t>Backup SSD — 2 TB 2.5"</t>
        </is>
      </c>
      <c r="E9" s="26" t="inlineStr">
        <is>
          <t>2TB 2.5" SATA SSD (external USB-C or internal 2nd bay)
Usage: Scenario media, video files, DB backups, system snapshots
Note: Spinning HDD is a cheaper option if the unit has a 2nd bay</t>
        </is>
      </c>
      <c r="F9" s="9" t="n">
        <v>1</v>
      </c>
      <c r="G9" s="10" t="n">
        <v>89</v>
      </c>
      <c r="H9" s="27">
        <f>F9*G9</f>
        <v/>
      </c>
      <c r="I9" s="8" t="inlineStr">
        <is>
          <t>Samsung 870 EVO 2TB or equivalent.
Source: Amazon / B&amp;H (March 2026)</t>
        </is>
      </c>
    </row>
    <row r="10" ht="16" customHeight="1">
      <c r="B10" s="31" t="inlineStr">
        <is>
          <t>Storage Subtotal</t>
        </is>
      </c>
      <c r="G10" s="32">
        <f>SUM(H9:H9)</f>
        <v/>
      </c>
      <c r="H10" s="33" t="n"/>
      <c r="I10" s="33" t="n"/>
    </row>
    <row r="11" ht="16" customHeight="1">
      <c r="B11" s="22" t="inlineStr">
        <is>
          <t xml:space="preserve">  NETWORKING  —  Switch, Cabling, Wireless</t>
        </is>
      </c>
      <c r="C11" s="23" t="n"/>
      <c r="D11" s="23" t="n"/>
      <c r="E11" s="23" t="n"/>
      <c r="F11" s="23" t="n"/>
      <c r="G11" s="23" t="n"/>
      <c r="H11" s="23" t="n"/>
      <c r="I11" s="24" t="n"/>
    </row>
    <row r="12" ht="42" customHeight="1">
      <c r="B12" s="25" t="n">
        <v>5</v>
      </c>
      <c r="C12" s="8" t="inlineStr">
        <is>
          <t>Networking</t>
        </is>
      </c>
      <c r="D12" s="8" t="inlineStr">
        <is>
          <t>Managed Gigabit Switch — 8-port</t>
        </is>
      </c>
      <c r="E12" s="26" t="inlineStr">
        <is>
          <t>8-port Gigabit managed switch
TP-Link TL-SG108E or equivalent
Connects: server + up to 7 wired learner terminals</t>
        </is>
      </c>
      <c r="F12" s="9" t="n">
        <v>1</v>
      </c>
      <c r="G12" s="10" t="n">
        <v>34</v>
      </c>
      <c r="H12" s="27">
        <f>F12*G12</f>
        <v/>
      </c>
      <c r="I12" s="8" t="inlineStr">
        <is>
          <t>TP-Link TL-SG108E (EasySmart managed).
Source: Amazon (March 2026)</t>
        </is>
      </c>
    </row>
    <row r="13" ht="42" customHeight="1">
      <c r="B13" s="28" t="n">
        <v>6</v>
      </c>
      <c r="C13" s="12" t="inlineStr">
        <is>
          <t>Networking</t>
        </is>
      </c>
      <c r="D13" s="12" t="inlineStr">
        <is>
          <t>Cat6 Patch Cables — 3 ft</t>
        </is>
      </c>
      <c r="E13" s="29" t="inlineStr">
        <is>
          <t>Cat6 RJ45 patch cables, 3 ft
Server to switch + spares</t>
        </is>
      </c>
      <c r="F13" s="13" t="n">
        <v>5</v>
      </c>
      <c r="G13" s="14" t="n">
        <v>4</v>
      </c>
      <c r="H13" s="30">
        <f>F13*G13</f>
        <v/>
      </c>
      <c r="I13" s="12" t="inlineStr">
        <is>
          <t>AmazonBasics Cat6 or equivalent.
Source: Amazon (March 2026)</t>
        </is>
      </c>
    </row>
    <row r="14" ht="42" customHeight="1">
      <c r="B14" s="25" t="n">
        <v>7</v>
      </c>
      <c r="C14" s="8" t="inlineStr">
        <is>
          <t>Networking</t>
        </is>
      </c>
      <c r="D14" s="8" t="inlineStr">
        <is>
          <t>WiFi 6 Access Point (Optional)</t>
        </is>
      </c>
      <c r="E14" s="26" t="inlineStr">
        <is>
          <t>802.11ax (WiFi 6) ceiling/wall AP
TP-Link EAP670 or Ubiquiti UniFi U6-Lite
For tablet-based learners on the warehouse floor
Requires PoE switch or PoE injector (included in EAP670 kit)</t>
        </is>
      </c>
      <c r="F14" s="9" t="n">
        <v>1</v>
      </c>
      <c r="G14" s="10" t="n">
        <v>109</v>
      </c>
      <c r="H14" s="27">
        <f>F14*G14</f>
        <v/>
      </c>
      <c r="I14" s="8" t="inlineStr">
        <is>
          <t>OPTIONAL — omit if all learner terminals are wired.
TP-Link EAP670 with PoE injector included.
Source: Amazon / TP-Link (March 2026)</t>
        </is>
      </c>
    </row>
    <row r="15" ht="16" customHeight="1">
      <c r="B15" s="31" t="inlineStr">
        <is>
          <t>Networking Subtotal</t>
        </is>
      </c>
      <c r="G15" s="32">
        <f>SUM(H12:H14)</f>
        <v/>
      </c>
      <c r="H15" s="33" t="n"/>
      <c r="I15" s="33" t="n"/>
    </row>
    <row r="16" ht="16" customHeight="1">
      <c r="B16" s="22" t="inlineStr">
        <is>
          <t xml:space="preserve">  POWER PROTECTION  —  UPS Battery Backup</t>
        </is>
      </c>
      <c r="C16" s="23" t="n"/>
      <c r="D16" s="23" t="n"/>
      <c r="E16" s="23" t="n"/>
      <c r="F16" s="23" t="n"/>
      <c r="G16" s="23" t="n"/>
      <c r="H16" s="23" t="n"/>
      <c r="I16" s="24" t="n"/>
    </row>
    <row r="17" ht="42" customHeight="1">
      <c r="B17" s="25" t="n">
        <v>8</v>
      </c>
      <c r="C17" s="8" t="inlineStr">
        <is>
          <t>Power</t>
        </is>
      </c>
      <c r="D17" s="8" t="inlineStr">
        <is>
          <t>UPS — 750 VA / 450W</t>
        </is>
      </c>
      <c r="E17" s="26" t="inlineStr">
        <is>
          <t>750 VA / 450W line-interactive UPS
CyberPower CP750LCD or APC BX750M
Runtime at 300W load: ~12–15 min (graceful shutdown)
6 protected outlets + USB/serial management port</t>
        </is>
      </c>
      <c r="F17" s="9" t="n">
        <v>1</v>
      </c>
      <c r="G17" s="10" t="n">
        <v>109</v>
      </c>
      <c r="H17" s="27">
        <f>F17*G17</f>
        <v/>
      </c>
      <c r="I17" s="8" t="inlineStr">
        <is>
          <t>Sufficient for server + switch. Provides graceful shutdown time.
CyberPower CP750LCD or APC BX750M.
Source: Amazon / CyberPower (March 2026)</t>
        </is>
      </c>
    </row>
    <row r="18" ht="16" customHeight="1">
      <c r="B18" s="31" t="inlineStr">
        <is>
          <t>Power Subtotal</t>
        </is>
      </c>
      <c r="G18" s="32">
        <f>SUM(H17:H17)</f>
        <v/>
      </c>
      <c r="H18" s="33" t="n"/>
      <c r="I18" s="33" t="n"/>
    </row>
    <row r="19" ht="16" customHeight="1">
      <c r="B19" s="22" t="inlineStr">
        <is>
          <t xml:space="preserve">  SETUP PERIPHERALS  —  One-Time Configuration (can be repurposed after)</t>
        </is>
      </c>
      <c r="C19" s="23" t="n"/>
      <c r="D19" s="23" t="n"/>
      <c r="E19" s="23" t="n"/>
      <c r="F19" s="23" t="n"/>
      <c r="G19" s="23" t="n"/>
      <c r="H19" s="23" t="n"/>
      <c r="I19" s="24" t="n"/>
    </row>
    <row r="20" ht="42" customHeight="1">
      <c r="B20" s="25" t="n">
        <v>9</v>
      </c>
      <c r="C20" s="8" t="inlineStr">
        <is>
          <t>Setup</t>
        </is>
      </c>
      <c r="D20" s="8" t="inlineStr">
        <is>
          <t>Monitor — HDMI (setup only)</t>
        </is>
      </c>
      <c r="E20" s="26" t="inlineStr">
        <is>
          <t>Any HDMI display, 1080p minimum
Used for initial Ubuntu Server setup and admin tasks only
Server runs headless after configuration</t>
        </is>
      </c>
      <c r="F20" s="9" t="n">
        <v>1</v>
      </c>
      <c r="G20" s="10" t="n">
        <v>89</v>
      </c>
      <c r="H20" s="27">
        <f>F20*G20</f>
        <v/>
      </c>
      <c r="I20" s="8" t="inlineStr">
        <is>
          <t>Any budget 1080p monitor. Can substitute a TV or repurpose existing display.
Source: Amazon (March 2026)</t>
        </is>
      </c>
    </row>
    <row r="21" ht="42" customHeight="1">
      <c r="B21" s="28" t="n">
        <v>10</v>
      </c>
      <c r="C21" s="12" t="inlineStr">
        <is>
          <t>Setup</t>
        </is>
      </c>
      <c r="D21" s="12" t="inlineStr">
        <is>
          <t>USB Keyboard + Mouse (setup only)</t>
        </is>
      </c>
      <c r="E21" s="29" t="inlineStr">
        <is>
          <t>USB keyboard and mouse combo
Required for initial OS installation only
Can be repurposed or shared after setup</t>
        </is>
      </c>
      <c r="F21" s="13" t="n">
        <v>1</v>
      </c>
      <c r="G21" s="14" t="n">
        <v>25</v>
      </c>
      <c r="H21" s="30">
        <f>F21*G21</f>
        <v/>
      </c>
      <c r="I21" s="12" t="inlineStr">
        <is>
          <t>Any budget wired USB combo (Logitech MK120 or equivalent).
Source: Amazon (March 2026)</t>
        </is>
      </c>
    </row>
    <row r="22" ht="16" customHeight="1">
      <c r="B22" s="31" t="inlineStr">
        <is>
          <t>Setup Subtotal</t>
        </is>
      </c>
      <c r="G22" s="32">
        <f>SUM(H20:H21)</f>
        <v/>
      </c>
      <c r="H22" s="33" t="n"/>
      <c r="I22" s="33" t="n"/>
    </row>
    <row r="24" ht="22" customHeight="1">
      <c r="B24" s="34" t="inlineStr">
        <is>
          <t>HARDWARE GRAND TOTAL</t>
        </is>
      </c>
      <c r="G24" s="35">
        <f>G7+G10+G15+G18+G22</f>
        <v/>
      </c>
      <c r="H24" s="36" t="n"/>
      <c r="I24" s="36" t="n"/>
    </row>
  </sheetData>
  <mergeCells count="12">
    <mergeCell ref="B7:F7"/>
    <mergeCell ref="B24:F24"/>
    <mergeCell ref="B11:I11"/>
    <mergeCell ref="B15:F15"/>
    <mergeCell ref="B10:F10"/>
    <mergeCell ref="B16:I16"/>
    <mergeCell ref="B3:I3"/>
    <mergeCell ref="B19:I19"/>
    <mergeCell ref="B22:F22"/>
    <mergeCell ref="B1:I1"/>
    <mergeCell ref="B8:I8"/>
    <mergeCell ref="B18:F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28" customWidth="1" min="4" max="4"/>
    <col width="14" customWidth="1" min="5" max="5"/>
    <col width="14" customWidth="1" min="6" max="6"/>
    <col width="40" customWidth="1" min="7" max="7"/>
  </cols>
  <sheetData>
    <row r="1" ht="24" customHeight="1">
      <c r="B1" s="21" t="inlineStr">
        <is>
          <t>Software Stack — Zero-Touch Training Phase 4</t>
        </is>
      </c>
    </row>
    <row r="2" ht="18" customHeight="1">
      <c r="B2" s="5" t="inlineStr">
        <is>
          <t>Component</t>
        </is>
      </c>
      <c r="C2" s="5" t="inlineStr">
        <is>
          <t>Category</t>
        </is>
      </c>
      <c r="D2" s="5" t="inlineStr">
        <is>
          <t>Purpose</t>
        </is>
      </c>
      <c r="E2" s="6" t="inlineStr">
        <is>
          <t>License / Cost</t>
        </is>
      </c>
      <c r="F2" s="5" t="inlineStr">
        <is>
          <t>Notes</t>
        </is>
      </c>
    </row>
    <row r="3" ht="30" customHeight="1">
      <c r="B3" s="37" t="inlineStr">
        <is>
          <t>Ubuntu Server 22.04 LTS</t>
        </is>
      </c>
      <c r="C3" s="8" t="inlineStr">
        <is>
          <t>Operating System</t>
        </is>
      </c>
      <c r="D3" s="26" t="inlineStr">
        <is>
          <t>Server OS — stable, widely supported, 5-year LTS</t>
        </is>
      </c>
      <c r="E3" s="38" t="inlineStr">
        <is>
          <t>Free (open source)</t>
        </is>
      </c>
      <c r="F3" s="39" t="inlineStr">
        <is>
          <t>Recommended over Ubuntu Desktop — smaller footprint, no GUI overhead</t>
        </is>
      </c>
    </row>
    <row r="4" ht="30" customHeight="1">
      <c r="B4" s="40" t="inlineStr">
        <is>
          <t>Docker Engine + Compose</t>
        </is>
      </c>
      <c r="C4" s="12" t="inlineStr">
        <is>
          <t>Container Runtime</t>
        </is>
      </c>
      <c r="D4" s="29" t="inlineStr">
        <is>
          <t>Runs and orchestrates ERPNext containers; isolates each user session</t>
        </is>
      </c>
      <c r="E4" s="38" t="inlineStr">
        <is>
          <t>Free (Apache 2.0)</t>
        </is>
      </c>
      <c r="F4" s="41" t="inlineStr">
        <is>
          <t>docker.io package from Ubuntu repos. Compose V2 included.</t>
        </is>
      </c>
    </row>
    <row r="5" ht="30" customHeight="1">
      <c r="B5" s="37" t="inlineStr">
        <is>
          <t>ERPNext — Community Edition</t>
        </is>
      </c>
      <c r="C5" s="8" t="inlineStr">
        <is>
          <t>ERP Sandbox</t>
        </is>
      </c>
      <c r="D5" s="26" t="inlineStr">
        <is>
          <t>SAP-equivalent ERP system; Purchase Receipt = MIGO Goods Receipt analog</t>
        </is>
      </c>
      <c r="E5" s="38" t="inlineStr">
        <is>
          <t>Free (MIT License)</t>
        </is>
      </c>
      <c r="F5" s="39" t="inlineStr">
        <is>
          <t>Deployed via official frappe/erpnext Docker image. One container per session.</t>
        </is>
      </c>
    </row>
    <row r="6" ht="30" customHeight="1">
      <c r="B6" s="40" t="inlineStr">
        <is>
          <t>MariaDB (via ERPNext image)</t>
        </is>
      </c>
      <c r="C6" s="12" t="inlineStr">
        <is>
          <t>Database</t>
        </is>
      </c>
      <c r="D6" s="29" t="inlineStr">
        <is>
          <t>ERPNext's database backend — included in official Docker image</t>
        </is>
      </c>
      <c r="E6" s="38" t="inlineStr">
        <is>
          <t>Free (GPL)</t>
        </is>
      </c>
      <c r="F6" s="41" t="inlineStr">
        <is>
          <t>Bundled with ERPNext Docker image. No separate install required.</t>
        </is>
      </c>
    </row>
    <row r="7" ht="30" customHeight="1">
      <c r="B7" s="37" t="inlineStr">
        <is>
          <t>Nginx</t>
        </is>
      </c>
      <c r="C7" s="8" t="inlineStr">
        <is>
          <t>Web / Reverse Proxy</t>
        </is>
      </c>
      <c r="D7" s="26" t="inlineStr">
        <is>
          <t>Serves static trainer files; routes API and container traffic</t>
        </is>
      </c>
      <c r="E7" s="38" t="inlineStr">
        <is>
          <t>Free (BSD)</t>
        </is>
      </c>
      <c r="F7" s="39" t="inlineStr">
        <is>
          <t>Handles HTTPS termination and routes /api traffic to FastAPI backend.</t>
        </is>
      </c>
    </row>
    <row r="8" ht="30" customHeight="1">
      <c r="B8" s="40" t="inlineStr">
        <is>
          <t>FastAPI (Python)</t>
        </is>
      </c>
      <c r="C8" s="12" t="inlineStr">
        <is>
          <t>Progress API</t>
        </is>
      </c>
      <c r="D8" s="29" t="inlineStr">
        <is>
          <t>Lightweight REST API for learner progress, scores, leaderboard</t>
        </is>
      </c>
      <c r="E8" s="38" t="inlineStr">
        <is>
          <t>Free (MIT)</t>
        </is>
      </c>
      <c r="F8" s="41" t="inlineStr">
        <is>
          <t>pip install fastapi uvicorn. Runs as a systemd service.</t>
        </is>
      </c>
    </row>
    <row r="9" ht="30" customHeight="1">
      <c r="B9" s="37" t="inlineStr">
        <is>
          <t>PostgreSQL</t>
        </is>
      </c>
      <c r="C9" s="8" t="inlineStr">
        <is>
          <t>Progress Database</t>
        </is>
      </c>
      <c r="D9" s="26" t="inlineStr">
        <is>
          <t>Stores learner progress, completion records, scores</t>
        </is>
      </c>
      <c r="E9" s="38" t="inlineStr">
        <is>
          <t>Free (PostgreSQL License)</t>
        </is>
      </c>
      <c r="F9" s="39" t="inlineStr">
        <is>
          <t>Alternative: SQLite for a pilot — zero config, single file database.</t>
        </is>
      </c>
    </row>
    <row r="10" ht="30" customHeight="1">
      <c r="B10" s="40" t="inlineStr">
        <is>
          <t>Playwright (Python)</t>
        </is>
      </c>
      <c r="C10" s="12" t="inlineStr">
        <is>
          <t>Capture Pipeline</t>
        </is>
      </c>
      <c r="D10" s="29" t="inlineStr">
        <is>
          <t>Browser automation for capturing real-system screenshots</t>
        </is>
      </c>
      <c r="E10" s="38" t="inlineStr">
        <is>
          <t>Free (Apache 2.0)</t>
        </is>
      </c>
      <c r="F10" s="41" t="inlineStr">
        <is>
          <t>Runs on developer machine, not the server. pip install playwright.</t>
        </is>
      </c>
    </row>
    <row r="11" ht="30" customHeight="1">
      <c r="B11" s="37" t="inlineStr">
        <is>
          <t>Certbot / Let's Encrypt</t>
        </is>
      </c>
      <c r="C11" s="8" t="inlineStr">
        <is>
          <t>TLS / HTTPS</t>
        </is>
      </c>
      <c r="D11" s="26" t="inlineStr">
        <is>
          <t>Free SSL certificates for HTTPS if accessible over LAN or internet</t>
        </is>
      </c>
      <c r="E11" s="38" t="inlineStr">
        <is>
          <t>Free (open source)</t>
        </is>
      </c>
      <c r="F11" s="39" t="inlineStr">
        <is>
          <t>Optional for LAN-only deployment. Required if accessible from outside network.</t>
        </is>
      </c>
    </row>
    <row r="12" ht="30" customHeight="1">
      <c r="B12" s="40" t="inlineStr">
        <is>
          <t>Zero-Touch Training App</t>
        </is>
      </c>
      <c r="C12" s="12" t="inlineStr">
        <is>
          <t>Training Platform</t>
        </is>
      </c>
      <c r="D12" s="29" t="inlineStr">
        <is>
          <t>React SPA game engine + scenario packs + landing page</t>
        </is>
      </c>
      <c r="E12" s="42" t="inlineStr">
        <is>
          <t>Internal / Proprietary</t>
        </is>
      </c>
      <c r="F12" s="41" t="inlineStr">
        <is>
          <t>Served as static files by Nginx. No runtime compute cost.</t>
        </is>
      </c>
    </row>
    <row r="13" ht="30" customHeight="1">
      <c r="B13" s="37" t="inlineStr">
        <is>
          <t>Ubuntu Pro (optional)</t>
        </is>
      </c>
      <c r="C13" s="8" t="inlineStr">
        <is>
          <t>Security</t>
        </is>
      </c>
      <c r="D13" s="26" t="inlineStr">
        <is>
          <t>Extended security patching and compliance features</t>
        </is>
      </c>
      <c r="E13" s="38" t="inlineStr">
        <is>
          <t>Free for up to 5 machines (personal/small team)</t>
        </is>
      </c>
      <c r="F13" s="39" t="inlineStr">
        <is>
          <t>OPTIONAL. Register at ubuntu.com/pro. Adds 10-year security patch support.</t>
        </is>
      </c>
    </row>
    <row r="14" ht="20" customHeight="1">
      <c r="B14" s="43" t="inlineStr">
        <is>
          <t>TOTAL SOFTWARE COST</t>
        </is>
      </c>
      <c r="E14" s="44" t="inlineStr">
        <is>
          <t>$0.00</t>
        </is>
      </c>
      <c r="F14" s="45" t="n"/>
    </row>
  </sheetData>
  <mergeCells count="2">
    <mergeCell ref="B14:D14"/>
    <mergeCell ref="B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B1" s="21" t="inlineStr">
        <is>
          <t>Sizing Rationale — 10 Concurrent Docker Sessions</t>
        </is>
      </c>
    </row>
    <row r="3" ht="16" customHeight="1">
      <c r="B3" s="46" t="inlineStr">
        <is>
          <t>RAM Sizing</t>
        </is>
      </c>
    </row>
    <row r="4" ht="16" customHeight="1">
      <c r="B4" s="5" t="inlineStr">
        <is>
          <t>Component</t>
        </is>
      </c>
      <c r="C4" s="6" t="inlineStr">
        <is>
          <t>Per Session (GB)</t>
        </is>
      </c>
      <c r="D4" s="6" t="inlineStr">
        <is>
          <t>× Sessions</t>
        </is>
      </c>
      <c r="E4" s="6" t="inlineStr">
        <is>
          <t>Total (GB)</t>
        </is>
      </c>
      <c r="F4" s="6" t="inlineStr">
        <is>
          <t>Notes</t>
        </is>
      </c>
    </row>
    <row r="5" ht="16" customHeight="1">
      <c r="B5" s="8" t="inlineStr">
        <is>
          <t>ERPNext application (Frappe/Python)</t>
        </is>
      </c>
      <c r="C5" s="9" t="n">
        <v>1.5</v>
      </c>
      <c r="D5" s="9" t="n">
        <v>10</v>
      </c>
      <c r="E5" s="47">
        <f>C5*D5</f>
        <v/>
      </c>
      <c r="F5" s="48" t="inlineStr">
        <is>
          <t>Python workers + Redis cache</t>
        </is>
      </c>
    </row>
    <row r="6" ht="16" customHeight="1">
      <c r="B6" s="12" t="inlineStr">
        <is>
          <t>MariaDB per container</t>
        </is>
      </c>
      <c r="C6" s="13" t="n">
        <v>0.5</v>
      </c>
      <c r="D6" s="13" t="n">
        <v>10</v>
      </c>
      <c r="E6" s="49">
        <f>C6*D6</f>
        <v/>
      </c>
      <c r="F6" s="50" t="inlineStr">
        <is>
          <t>DB process per session</t>
        </is>
      </c>
    </row>
    <row r="7" ht="16" customHeight="1">
      <c r="B7" s="51" t="inlineStr">
        <is>
          <t>Sub-total: active containers</t>
        </is>
      </c>
      <c r="C7" s="52" t="inlineStr"/>
      <c r="D7" s="52" t="inlineStr"/>
      <c r="E7" s="53">
        <f>E5+E6</f>
        <v/>
      </c>
      <c r="F7" s="54" t="inlineStr"/>
    </row>
    <row r="8" ht="16" customHeight="1">
      <c r="B8" s="12" t="inlineStr">
        <is>
          <t>Ubuntu OS + Docker daemon</t>
        </is>
      </c>
      <c r="C8" s="13" t="n">
        <v>2</v>
      </c>
      <c r="D8" s="13" t="n">
        <v>1</v>
      </c>
      <c r="E8" s="49">
        <f>C8*D8</f>
        <v/>
      </c>
      <c r="F8" s="50" t="inlineStr">
        <is>
          <t>Host OS baseline</t>
        </is>
      </c>
    </row>
    <row r="9" ht="16" customHeight="1">
      <c r="B9" s="8" t="inlineStr">
        <is>
          <t>Nginx + FastAPI progress API</t>
        </is>
      </c>
      <c r="C9" s="9" t="n">
        <v>0.5</v>
      </c>
      <c r="D9" s="9" t="n">
        <v>1</v>
      </c>
      <c r="E9" s="47">
        <f>C9*D9</f>
        <v/>
      </c>
      <c r="F9" s="48" t="inlineStr">
        <is>
          <t>Trainer web + backend</t>
        </is>
      </c>
    </row>
    <row r="10" ht="16" customHeight="1">
      <c r="B10" s="51" t="inlineStr">
        <is>
          <t>Buffer / headroom (30%)</t>
        </is>
      </c>
      <c r="C10" s="52" t="inlineStr"/>
      <c r="D10" s="52" t="inlineStr"/>
      <c r="E10" s="53">
        <f>(E7+E8+E9)*0.3</f>
        <v/>
      </c>
      <c r="F10" s="54" t="inlineStr">
        <is>
          <t>Prevents OOM kills</t>
        </is>
      </c>
    </row>
    <row r="11" ht="16" customHeight="1">
      <c r="B11" s="55" t="inlineStr">
        <is>
          <t>TOTAL RAM REQUIRED</t>
        </is>
      </c>
      <c r="C11" s="17" t="inlineStr"/>
      <c r="D11" s="17" t="inlineStr"/>
      <c r="E11" s="56">
        <f>E7+E8+E9+E10</f>
        <v/>
      </c>
      <c r="F11" s="57" t="inlineStr">
        <is>
          <t>→ 32 GB minimum, 64 GB specified</t>
        </is>
      </c>
    </row>
    <row r="14" ht="16" customHeight="1">
      <c r="B14" s="46" t="inlineStr">
        <is>
          <t>CPU &amp; Storage Sizing</t>
        </is>
      </c>
    </row>
    <row r="15" ht="48" customHeight="1">
      <c r="B15" s="37" t="inlineStr">
        <is>
          <t>CPU — workload profile</t>
        </is>
      </c>
      <c r="C15" s="58" t="inlineStr">
        <is>
          <t>ERPNext sessions are I/O-bound, not CPU-bound. Learners click 1 field every
5–30 seconds. Peak CPU: 10 simultaneous DB writes at level transition.
14-core i9-12900H: vastly over-specced. 8-core minimum would suffice.</t>
        </is>
      </c>
    </row>
    <row r="16" ht="48" customHeight="1">
      <c r="B16" s="40" t="inlineStr">
        <is>
          <t>CPU — why 14 cores anyway</t>
        </is>
      </c>
      <c r="C16" s="59" t="inlineStr">
        <is>
          <t>The MS-01 / equivalent ships with this CPU. No lower-core option at the same
price point. The extra cores benefit the Playwright capture pipeline (parallelism)
and future growth to 20+ users without hardware change.</t>
        </is>
      </c>
    </row>
    <row r="17" ht="48" customHeight="1">
      <c r="B17" s="37" t="inlineStr">
        <is>
          <t>Storage — container overhead</t>
        </is>
      </c>
      <c r="C17" s="58" t="inlineStr">
        <is>
          <t>ERPNext Docker image: ~4 GB. Each session container uses copy-on-write (CoW)
storage — delta from base image only (~50–200 MB per active session).
10 active sessions: ~5–6 GB total container storage.</t>
        </is>
      </c>
    </row>
    <row r="18" ht="48" customHeight="1">
      <c r="B18" s="40" t="inlineStr">
        <is>
          <t>Storage — total budget</t>
        </is>
      </c>
      <c r="C18" s="59" t="inlineStr">
        <is>
          <t>OS: 20 GB  |  Docker images: 15 GB  |  Containers (10x CoW): 6 GB
Scenario media: 1 GB  |  Logs + DB: 5 GB  |  Buffer: 450 GB free
→ 1 TB NVMe is comfortable. 500 GB minimum would also work.</t>
        </is>
      </c>
    </row>
  </sheetData>
  <mergeCells count="7">
    <mergeCell ref="C18:F18"/>
    <mergeCell ref="C17:F17"/>
    <mergeCell ref="B3:F3"/>
    <mergeCell ref="C16:F16"/>
    <mergeCell ref="C15:F15"/>
    <mergeCell ref="B1:F1"/>
    <mergeCell ref="B14:F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6" customWidth="1" min="3" max="3"/>
    <col width="14" customWidth="1" min="4" max="4"/>
    <col width="14" customWidth="1" min="5" max="5"/>
    <col width="40" customWidth="1" min="6" max="6"/>
  </cols>
  <sheetData>
    <row r="1" ht="24" customHeight="1">
      <c r="B1" s="21" t="inlineStr">
        <is>
          <t>Alternative Configurations &amp; Cloud Comparison</t>
        </is>
      </c>
    </row>
    <row r="2" ht="18" customHeight="1">
      <c r="B2" s="5" t="inlineStr">
        <is>
          <t>Option</t>
        </is>
      </c>
      <c r="C2" s="5" t="inlineStr">
        <is>
          <t>Description</t>
        </is>
      </c>
      <c r="D2" s="6" t="inlineStr">
        <is>
          <t>One-Time Cost</t>
        </is>
      </c>
      <c r="E2" s="6" t="inlineStr">
        <is>
          <t>Monthly Opex</t>
        </is>
      </c>
      <c r="F2" s="5" t="inlineStr">
        <is>
          <t>Notes</t>
        </is>
      </c>
    </row>
    <row r="3" ht="52" customHeight="1">
      <c r="B3" s="60" t="inlineStr">
        <is>
          <t>Recommended (this BOM)</t>
        </is>
      </c>
      <c r="C3" s="61" t="inlineStr">
        <is>
          <t>Minisforum MS-01 · 64 GB RAM · 1 TB NVMe
Max 10 concurrent sessions. Quiet SFF form factor.
Fanless option available for dusty environments.</t>
        </is>
      </c>
      <c r="D3" s="62" t="inlineStr">
        <is>
          <t>$994</t>
        </is>
      </c>
      <c r="E3" s="63" t="inlineStr">
        <is>
          <t>$0</t>
        </is>
      </c>
      <c r="F3" s="64" t="inlineStr">
        <is>
          <t>Best balance of cost, size, and headroom. Handles 20+ users with RAM upgrade only.</t>
        </is>
      </c>
    </row>
    <row r="4" ht="52" customHeight="1">
      <c r="B4" s="40" t="inlineStr">
        <is>
          <t>Budget — Used Workstation</t>
        </is>
      </c>
      <c r="C4" s="65" t="inlineStr">
        <is>
          <t>Refurbished Dell Precision 3660 / HP Z4 G4
64 GB DDR4 ECC · 1 TB NVMe · 12-core CPU
Slightly larger footprint; tower form factor.</t>
        </is>
      </c>
      <c r="D4" s="13" t="inlineStr">
        <is>
          <t>$700–900</t>
        </is>
      </c>
      <c r="E4" s="66" t="inlineStr">
        <is>
          <t>$0</t>
        </is>
      </c>
      <c r="F4" s="59" t="inlineStr">
        <is>
          <t>Good choice if cost is primary concern. ECC memory adds stability for DB workloads.</t>
        </is>
      </c>
    </row>
    <row r="5" ht="52" customHeight="1">
      <c r="B5" s="37" t="inlineStr">
        <is>
          <t>Compact — NUC / Mini PC</t>
        </is>
      </c>
      <c r="C5" s="67" t="inlineStr">
        <is>
          <t>Intel NUC 13 Pro (or Beelink EQ13)
Max RAM: 64 GB (2x 32 GB SODIMM)
Smallest footprint — fits in a desk drawer.</t>
        </is>
      </c>
      <c r="D5" s="9" t="inlineStr">
        <is>
          <t>$700–850</t>
        </is>
      </c>
      <c r="E5" s="68" t="inlineStr">
        <is>
          <t>$0</t>
        </is>
      </c>
      <c r="F5" s="58" t="inlineStr">
        <is>
          <t>Good for office/training room. Limited expansion. One 2.5 GbE port only.</t>
        </is>
      </c>
    </row>
    <row r="6" ht="52" customHeight="1">
      <c r="B6" s="40" t="inlineStr">
        <is>
          <t>Cloud — DigitalOcean Droplet</t>
        </is>
      </c>
      <c r="C6" s="65" t="inlineStr">
        <is>
          <t>Memory-Optimized 32 GB Droplet
8 vCPU · 32 GB RAM · 100 GB SSD
Scales on demand; no hardware to manage.</t>
        </is>
      </c>
      <c r="D6" s="13" t="inlineStr">
        <is>
          <t>$0</t>
        </is>
      </c>
      <c r="E6" s="69" t="inlineStr">
        <is>
          <t>$168/mo</t>
        </is>
      </c>
      <c r="F6" s="59" t="inlineStr">
        <is>
          <t>Best for variable/unpredictable usage. No upfront cost. Break-even vs. local: ~6 months.</t>
        </is>
      </c>
    </row>
    <row r="7" ht="52" customHeight="1">
      <c r="B7" s="37" t="inlineStr">
        <is>
          <t>Cloud — Hetzner (EU/US)</t>
        </is>
      </c>
      <c r="C7" s="67" t="inlineStr">
        <is>
          <t>CCX23 · 4 vCPU · 16 GB RAM (starter)
Upgrade to CCX33 (8 vCPU · 32 GB) for 10 users</t>
        </is>
      </c>
      <c r="D7" s="9" t="inlineStr">
        <is>
          <t>$0</t>
        </is>
      </c>
      <c r="E7" s="70" t="inlineStr">
        <is>
          <t>$55–89/mo</t>
        </is>
      </c>
      <c r="F7" s="58" t="inlineStr">
        <is>
          <t>Most cost-effective cloud option. EU data center (Helsinki, Nuremberg, Ashburn).</t>
        </is>
      </c>
    </row>
    <row r="8" ht="52" customHeight="1">
      <c r="B8" s="40" t="inlineStr">
        <is>
          <t>Air-Gapped / DoD</t>
        </is>
      </c>
      <c r="C8" s="65" t="inlineStr">
        <is>
          <t>Same hardware BOM + no external network dependency
All Docker images pre-pulled and stored locally
Suitable for classified / restricted network environments.</t>
        </is>
      </c>
      <c r="D8" s="13" t="inlineStr">
        <is>
          <t>Same as recommended</t>
        </is>
      </c>
      <c r="E8" s="66" t="inlineStr">
        <is>
          <t>$0</t>
        </is>
      </c>
      <c r="F8" s="59" t="inlineStr">
        <is>
          <t>Pull all images before deployment. No internet required at runtime. Required for NIPR/SIPR-adjacent use cases.</t>
        </is>
      </c>
    </row>
  </sheetData>
  <mergeCells count="1"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J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8" customWidth="1" min="2" max="2"/>
    <col width="32" customWidth="1" min="3" max="3"/>
    <col width="7" customWidth="1" min="4" max="4"/>
    <col width="7" customWidth="1" min="5" max="5"/>
    <col width="12" customWidth="1" min="6" max="6"/>
    <col width="14" customWidth="1" min="7" max="7"/>
    <col width="14" customWidth="1" min="8" max="8"/>
    <col width="13" customWidth="1" min="9" max="9"/>
    <col width="32" customWidth="1" min="10" max="10"/>
  </cols>
  <sheetData>
    <row r="1" ht="24" customHeight="1">
      <c r="B1" s="21" t="inlineStr">
        <is>
          <t>Cloud vs. Local Hosting Cost Comparison — Zero-Touch Training Phase 4</t>
        </is>
      </c>
    </row>
    <row r="2" ht="8" customHeight="1"/>
    <row r="3" ht="16" customHeight="1">
      <c r="B3" s="22" t="inlineStr">
        <is>
          <t xml:space="preserve">  MONTHLY COST COMPARISON  —  8 vCPU / 32 GB RAM equivalent  ·  Prices: March 2026</t>
        </is>
      </c>
    </row>
    <row r="4" ht="18" customHeight="1">
      <c r="B4" s="5" t="inlineStr">
        <is>
          <t>Provider</t>
        </is>
      </c>
      <c r="C4" s="5" t="inlineStr">
        <is>
          <t>Configuration</t>
        </is>
      </c>
      <c r="D4" s="6" t="inlineStr">
        <is>
          <t>vCPU</t>
        </is>
      </c>
      <c r="E4" s="6" t="inlineStr">
        <is>
          <t>RAM (GB)</t>
        </is>
      </c>
      <c r="F4" s="6" t="inlineStr">
        <is>
          <t>$/Month</t>
        </is>
      </c>
      <c r="G4" s="6" t="inlineStr">
        <is>
          <t>36-Month Cost</t>
        </is>
      </c>
      <c r="H4" s="6" t="inlineStr">
        <is>
          <t>vs. Local (3-yr)</t>
        </is>
      </c>
      <c r="I4" s="6" t="inlineStr">
        <is>
          <t>Break-Even</t>
        </is>
      </c>
      <c r="J4" s="5" t="inlineStr">
        <is>
          <t>Notes</t>
        </is>
      </c>
    </row>
    <row r="5" ht="22" customHeight="1">
      <c r="B5" s="71" t="inlineStr">
        <is>
          <t>AWS</t>
        </is>
      </c>
      <c r="C5" s="72" t="inlineStr">
        <is>
          <t>m5.2xlarge — On-Demand</t>
        </is>
      </c>
      <c r="D5" s="73" t="n">
        <v>8</v>
      </c>
      <c r="E5" s="73" t="n">
        <v>32</v>
      </c>
      <c r="F5" s="74" t="inlineStr">
        <is>
          <t>$280/mo</t>
        </is>
      </c>
      <c r="G5" s="75" t="n">
        <v>10080</v>
      </c>
      <c r="H5" s="76" t="inlineStr">
        <is>
          <t>+$8,948</t>
        </is>
      </c>
      <c r="I5" s="77" t="inlineStr">
        <is>
          <t>5 mo</t>
        </is>
      </c>
      <c r="J5" s="59" t="inlineStr">
        <is>
          <t>us-east-1 · no commitment · highest flexibility</t>
        </is>
      </c>
    </row>
    <row r="6" ht="22" customHeight="1">
      <c r="B6" s="12" t="inlineStr">
        <is>
          <t>AWS</t>
        </is>
      </c>
      <c r="C6" s="65" t="inlineStr">
        <is>
          <t>m5.2xlarge — 1-yr Reserved</t>
        </is>
      </c>
      <c r="D6" s="13" t="n">
        <v>8</v>
      </c>
      <c r="E6" s="13" t="n">
        <v>32</v>
      </c>
      <c r="F6" s="78" t="inlineStr">
        <is>
          <t>$180/mo</t>
        </is>
      </c>
      <c r="G6" s="79" t="n">
        <v>6480</v>
      </c>
      <c r="H6" s="80" t="inlineStr">
        <is>
          <t>+$5,348</t>
        </is>
      </c>
      <c r="I6" s="81" t="inlineStr">
        <is>
          <t>7 mo</t>
        </is>
      </c>
      <c r="J6" s="59" t="inlineStr">
        <is>
          <t>1-yr upfront · ~36% savings vs on-demand</t>
        </is>
      </c>
    </row>
    <row r="7" ht="22" customHeight="1">
      <c r="B7" s="8" t="inlineStr">
        <is>
          <t>AWS</t>
        </is>
      </c>
      <c r="C7" s="67" t="inlineStr">
        <is>
          <t>m5.2xlarge — 3-yr Reserved</t>
        </is>
      </c>
      <c r="D7" s="9" t="n">
        <v>8</v>
      </c>
      <c r="E7" s="9" t="n">
        <v>32</v>
      </c>
      <c r="F7" s="78" t="inlineStr">
        <is>
          <t>$120/mo</t>
        </is>
      </c>
      <c r="G7" s="79" t="n">
        <v>4320</v>
      </c>
      <c r="H7" s="80" t="inlineStr">
        <is>
          <t>+$3,188</t>
        </is>
      </c>
      <c r="I7" s="81" t="inlineStr">
        <is>
          <t>10 mo</t>
        </is>
      </c>
      <c r="J7" s="59" t="inlineStr">
        <is>
          <t>3-yr lock-in · ~57% savings · highest cloud risk</t>
        </is>
      </c>
    </row>
    <row r="8" ht="22" customHeight="1">
      <c r="B8" s="71" t="inlineStr">
        <is>
          <t>Azure</t>
        </is>
      </c>
      <c r="C8" s="72" t="inlineStr">
        <is>
          <t>D8s v3 — Pay-as-you-go</t>
        </is>
      </c>
      <c r="D8" s="73" t="n">
        <v>8</v>
      </c>
      <c r="E8" s="73" t="n">
        <v>32</v>
      </c>
      <c r="F8" s="74" t="inlineStr">
        <is>
          <t>$276/mo</t>
        </is>
      </c>
      <c r="G8" s="75" t="n">
        <v>9936</v>
      </c>
      <c r="H8" s="76" t="inlineStr">
        <is>
          <t>+$8,804</t>
        </is>
      </c>
      <c r="I8" s="77" t="inlineStr">
        <is>
          <t>5 mo</t>
        </is>
      </c>
      <c r="J8" s="59" t="inlineStr">
        <is>
          <t>East US · Linux · equivalent to AWS m5.2xlarge</t>
        </is>
      </c>
    </row>
    <row r="9" ht="22" customHeight="1">
      <c r="B9" s="8" t="inlineStr">
        <is>
          <t>Azure</t>
        </is>
      </c>
      <c r="C9" s="67" t="inlineStr">
        <is>
          <t>D8s v3 — 1-yr Savings Plan</t>
        </is>
      </c>
      <c r="D9" s="9" t="n">
        <v>8</v>
      </c>
      <c r="E9" s="9" t="n">
        <v>32</v>
      </c>
      <c r="F9" s="78" t="inlineStr">
        <is>
          <t>$173/mo</t>
        </is>
      </c>
      <c r="G9" s="79" t="n">
        <v>6228</v>
      </c>
      <c r="H9" s="80" t="inlineStr">
        <is>
          <t>+$5,096</t>
        </is>
      </c>
      <c r="I9" s="81" t="inlineStr">
        <is>
          <t>7 mo</t>
        </is>
      </c>
      <c r="J9" s="59" t="inlineStr">
        <is>
          <t>1-yr commitment · ~37% savings vs PAYG</t>
        </is>
      </c>
    </row>
    <row r="10" ht="22" customHeight="1">
      <c r="B10" s="71" t="inlineStr">
        <is>
          <t>GCP</t>
        </is>
      </c>
      <c r="C10" s="72" t="inlineStr">
        <is>
          <t>n2-standard-8 — On-Demand</t>
        </is>
      </c>
      <c r="D10" s="73" t="n">
        <v>8</v>
      </c>
      <c r="E10" s="73" t="n">
        <v>32</v>
      </c>
      <c r="F10" s="74" t="inlineStr">
        <is>
          <t>$274/mo</t>
        </is>
      </c>
      <c r="G10" s="75" t="n">
        <v>9864</v>
      </c>
      <c r="H10" s="76" t="inlineStr">
        <is>
          <t>+$8,732</t>
        </is>
      </c>
      <c r="I10" s="77" t="inlineStr">
        <is>
          <t>5 mo</t>
        </is>
      </c>
      <c r="J10" s="59" t="inlineStr">
        <is>
          <t>us-east1 · Linux · comparable compute</t>
        </is>
      </c>
    </row>
    <row r="11" ht="22" customHeight="1">
      <c r="B11" s="8" t="inlineStr">
        <is>
          <t>GCP</t>
        </is>
      </c>
      <c r="C11" s="67" t="inlineStr">
        <is>
          <t>n2-standard-8 — 1-yr CUD</t>
        </is>
      </c>
      <c r="D11" s="9" t="n">
        <v>8</v>
      </c>
      <c r="E11" s="9" t="n">
        <v>32</v>
      </c>
      <c r="F11" s="78" t="inlineStr">
        <is>
          <t>$195/mo</t>
        </is>
      </c>
      <c r="G11" s="79" t="n">
        <v>7020</v>
      </c>
      <c r="H11" s="80" t="inlineStr">
        <is>
          <t>+$5,888</t>
        </is>
      </c>
      <c r="I11" s="81" t="inlineStr">
        <is>
          <t>6 mo</t>
        </is>
      </c>
      <c r="J11" s="59" t="inlineStr">
        <is>
          <t>1-yr Committed Use Discount · ~29% savings</t>
        </is>
      </c>
    </row>
    <row r="12" ht="22" customHeight="1">
      <c r="B12" s="12" t="inlineStr">
        <is>
          <t>DigitalOcean</t>
        </is>
      </c>
      <c r="C12" s="65" t="inlineStr">
        <is>
          <t>Memory-Optimized 32 GB</t>
        </is>
      </c>
      <c r="D12" s="13" t="n">
        <v>8</v>
      </c>
      <c r="E12" s="13" t="n">
        <v>32</v>
      </c>
      <c r="F12" s="78" t="inlineStr">
        <is>
          <t>$168/mo</t>
        </is>
      </c>
      <c r="G12" s="79" t="n">
        <v>6048</v>
      </c>
      <c r="H12" s="80" t="inlineStr">
        <is>
          <t>+$4,916</t>
        </is>
      </c>
      <c r="I12" s="81" t="inlineStr">
        <is>
          <t>7 mo</t>
        </is>
      </c>
      <c r="J12" s="59" t="inlineStr">
        <is>
          <t>nyc3 · no commitment · simpler pricing model</t>
        </is>
      </c>
    </row>
    <row r="13" ht="22" customHeight="1">
      <c r="B13" s="82" t="inlineStr">
        <is>
          <t>Hetzner Cloud</t>
        </is>
      </c>
      <c r="C13" s="67" t="inlineStr">
        <is>
          <t>CCX33 — 8 vCPU / 32 GB</t>
        </is>
      </c>
      <c r="D13" s="9" t="n">
        <v>8</v>
      </c>
      <c r="E13" s="9" t="n">
        <v>32</v>
      </c>
      <c r="F13" s="83" t="inlineStr">
        <is>
          <t>$82/mo</t>
        </is>
      </c>
      <c r="G13" s="84" t="n">
        <v>2952</v>
      </c>
      <c r="H13" s="85" t="inlineStr">
        <is>
          <t>+$1,820</t>
        </is>
      </c>
      <c r="I13" s="86" t="inlineStr">
        <is>
          <t>14 mo</t>
        </is>
      </c>
      <c r="J13" s="59" t="inlineStr">
        <is>
          <t>Ashburn VA or Helsinki · best value cloud option</t>
        </is>
      </c>
    </row>
    <row r="14" ht="22" customHeight="1">
      <c r="B14" s="87" t="inlineStr">
        <is>
          <t>Hetzner Dedicated</t>
        </is>
      </c>
      <c r="C14" s="65" t="inlineStr">
        <is>
          <t>AX41-NVMe — 8c / 64 GB / 2×512</t>
        </is>
      </c>
      <c r="D14" s="13" t="n">
        <v>8</v>
      </c>
      <c r="E14" s="13" t="n">
        <v>64</v>
      </c>
      <c r="F14" s="83" t="inlineStr">
        <is>
          <t>$40/mo</t>
        </is>
      </c>
      <c r="G14" s="84" t="n">
        <v>1440</v>
      </c>
      <c r="H14" s="85" t="inlineStr">
        <is>
          <t>+$308</t>
        </is>
      </c>
      <c r="I14" s="86" t="inlineStr">
        <is>
          <t>29 mo</t>
        </is>
      </c>
      <c r="J14" s="59" t="inlineStr">
        <is>
          <t>Helsinki · dedicated hardware · lowest cloud cost</t>
        </is>
      </c>
    </row>
    <row r="15" ht="22" customHeight="1">
      <c r="B15" s="88" t="inlineStr">
        <is>
          <t>Local Hardware</t>
        </is>
      </c>
      <c r="C15" s="89" t="inlineStr">
        <is>
          <t>Phase 4 BOM (this document)</t>
        </is>
      </c>
      <c r="D15" s="90" t="n">
        <v>12</v>
      </c>
      <c r="E15" s="90" t="n">
        <v>64</v>
      </c>
      <c r="F15" s="91" t="inlineStr">
        <is>
          <t>$0 (one-time)</t>
        </is>
      </c>
      <c r="G15" s="91" t="inlineStr">
        <is>
          <t>$0 (hw: $1,132)</t>
        </is>
      </c>
      <c r="H15" s="91" t="inlineStr">
        <is>
          <t>Baseline</t>
        </is>
      </c>
      <c r="I15" s="92" t="inlineStr">
        <is>
          <t>N/A — Local wins</t>
        </is>
      </c>
      <c r="J15" s="59" t="inlineStr">
        <is>
          <t>One-time $1,132 · $0/mo ongoing</t>
        </is>
      </c>
    </row>
    <row r="16" ht="14" customHeight="1">
      <c r="B16" s="93" t="inlineStr">
        <is>
          <t>Color guide:  🔴 &gt; $200/mo (expensive)    🟡 $101–200/mo (moderate)    🟢 $1–100/mo (budget cloud)    🔵 Local hardware (recommended)</t>
        </is>
      </c>
    </row>
    <row r="18" ht="16" customHeight="1">
      <c r="B18" s="22" t="inlineStr">
        <is>
          <t xml:space="preserve">  3-YEAR TOTAL COST OF OWNERSHIP  —  36 months · Local hardware amortized fully</t>
        </is>
      </c>
    </row>
    <row r="19" ht="28" customHeight="1">
      <c r="B19" s="94" t="inlineStr">
        <is>
          <t>Provider</t>
        </is>
      </c>
      <c r="C19" s="94" t="inlineStr">
        <is>
          <t>Configuration</t>
        </is>
      </c>
      <c r="D19" s="95" t="inlineStr">
        <is>
          <t>One-Time
Hardware</t>
        </is>
      </c>
      <c r="E19" s="95" t="inlineStr">
        <is>
          <t>Best Monthly
Rate</t>
        </is>
      </c>
      <c r="F19" s="95" t="inlineStr">
        <is>
          <t>36-Month
Cloud Cost</t>
        </is>
      </c>
      <c r="G19" s="95" t="inlineStr">
        <is>
          <t>Total 3-yr TCO</t>
        </is>
      </c>
      <c r="H19" s="95" t="inlineStr">
        <is>
          <t>vs. Local
Hardware</t>
        </is>
      </c>
      <c r="I19" s="95" t="inlineStr">
        <is>
          <t>Break-Even
(months)</t>
        </is>
      </c>
      <c r="J19" s="94" t="inlineStr">
        <is>
          <t>Verdict</t>
        </is>
      </c>
    </row>
    <row r="20" ht="26" customHeight="1">
      <c r="B20" s="8" t="inlineStr">
        <is>
          <t>AWS</t>
        </is>
      </c>
      <c r="C20" s="67" t="inlineStr">
        <is>
          <t>m5.2xlarge — Best Rate (3-yr Reserved)</t>
        </is>
      </c>
      <c r="D20" s="96" t="inlineStr">
        <is>
          <t>$0</t>
        </is>
      </c>
      <c r="E20" s="97" t="inlineStr">
        <is>
          <t>$120/mo</t>
        </is>
      </c>
      <c r="F20" s="98" t="n">
        <v>4320</v>
      </c>
      <c r="G20" s="99" t="n">
        <v>4320</v>
      </c>
      <c r="H20" s="76" t="inlineStr">
        <is>
          <t>+$3,188</t>
        </is>
      </c>
      <c r="I20" s="100" t="inlineStr">
        <is>
          <t>10 months</t>
        </is>
      </c>
      <c r="J20" s="101" t="inlineStr">
        <is>
          <t>Most expensive at 3 yrs · 3-yr lock-in is high risk for a pilot</t>
        </is>
      </c>
    </row>
    <row r="21" ht="26" customHeight="1">
      <c r="B21" s="12" t="inlineStr">
        <is>
          <t>Azure</t>
        </is>
      </c>
      <c r="C21" s="65" t="inlineStr">
        <is>
          <t>D8s v3 — Best Rate (1-yr Savings Plan)</t>
        </is>
      </c>
      <c r="D21" s="102" t="inlineStr">
        <is>
          <t>$0</t>
        </is>
      </c>
      <c r="E21" s="103" t="inlineStr">
        <is>
          <t>$173/mo</t>
        </is>
      </c>
      <c r="F21" s="104" t="n">
        <v>6228</v>
      </c>
      <c r="G21" s="75" t="n">
        <v>6228</v>
      </c>
      <c r="H21" s="76" t="inlineStr">
        <is>
          <t>+$5,096</t>
        </is>
      </c>
      <c r="I21" s="105" t="inlineStr">
        <is>
          <t>7 months</t>
        </is>
      </c>
      <c r="J21" s="106" t="inlineStr">
        <is>
          <t>Comparable to AWS · no advantage over on-prem at scale</t>
        </is>
      </c>
    </row>
    <row r="22" ht="26" customHeight="1">
      <c r="B22" s="8" t="inlineStr">
        <is>
          <t>GCP</t>
        </is>
      </c>
      <c r="C22" s="67" t="inlineStr">
        <is>
          <t>n2-standard-8 — Best Rate (1-yr CUD)</t>
        </is>
      </c>
      <c r="D22" s="96" t="inlineStr">
        <is>
          <t>$0</t>
        </is>
      </c>
      <c r="E22" s="97" t="inlineStr">
        <is>
          <t>$195/mo</t>
        </is>
      </c>
      <c r="F22" s="104" t="n">
        <v>7020</v>
      </c>
      <c r="G22" s="75" t="n">
        <v>7020</v>
      </c>
      <c r="H22" s="76" t="inlineStr">
        <is>
          <t>+$5,888</t>
        </is>
      </c>
      <c r="I22" s="100" t="inlineStr">
        <is>
          <t>6 months</t>
        </is>
      </c>
      <c r="J22" s="101" t="inlineStr">
        <is>
          <t>Similar to Azure · committed use required to be competitive</t>
        </is>
      </c>
    </row>
    <row r="23" ht="26" customHeight="1">
      <c r="B23" s="12" t="inlineStr">
        <is>
          <t>DigitalOcean</t>
        </is>
      </c>
      <c r="C23" s="65" t="inlineStr">
        <is>
          <t>Memory-Optimized 32 GB (no commitment)</t>
        </is>
      </c>
      <c r="D23" s="102" t="inlineStr">
        <is>
          <t>$0</t>
        </is>
      </c>
      <c r="E23" s="103" t="inlineStr">
        <is>
          <t>$168/mo</t>
        </is>
      </c>
      <c r="F23" s="104" t="n">
        <v>6048</v>
      </c>
      <c r="G23" s="75" t="n">
        <v>6048</v>
      </c>
      <c r="H23" s="76" t="inlineStr">
        <is>
          <t>+$4,916</t>
        </is>
      </c>
      <c r="I23" s="105" t="inlineStr">
        <is>
          <t>7 months</t>
        </is>
      </c>
      <c r="J23" s="106" t="inlineStr">
        <is>
          <t>Simplest cloud option · no commitment · break-even in 7 mo</t>
        </is>
      </c>
    </row>
    <row r="24" ht="26" customHeight="1">
      <c r="B24" s="8" t="inlineStr">
        <is>
          <t>Hetzner Cloud</t>
        </is>
      </c>
      <c r="C24" s="67" t="inlineStr">
        <is>
          <t>CCX33 — 8 vCPU / 32 GB</t>
        </is>
      </c>
      <c r="D24" s="96" t="inlineStr">
        <is>
          <t>$0</t>
        </is>
      </c>
      <c r="E24" s="97" t="inlineStr">
        <is>
          <t>$82/mo</t>
        </is>
      </c>
      <c r="F24" s="98" t="n">
        <v>2952</v>
      </c>
      <c r="G24" s="98" t="n">
        <v>2952</v>
      </c>
      <c r="H24" s="76" t="inlineStr">
        <is>
          <t>+$1,820</t>
        </is>
      </c>
      <c r="I24" s="100" t="inlineStr">
        <is>
          <t>14 months</t>
        </is>
      </c>
      <c r="J24" s="101" t="inlineStr">
        <is>
          <t>Best cloud price · EU/US DCs · break-even in 14 mo</t>
        </is>
      </c>
    </row>
    <row r="25" ht="26" customHeight="1">
      <c r="B25" s="12" t="inlineStr">
        <is>
          <t>Hetzner Dedicated</t>
        </is>
      </c>
      <c r="C25" s="65" t="inlineStr">
        <is>
          <t>AX41-NVMe — 8c / 64 GB / 2×512 NVMe</t>
        </is>
      </c>
      <c r="D25" s="102" t="inlineStr">
        <is>
          <t>$0</t>
        </is>
      </c>
      <c r="E25" s="103" t="inlineStr">
        <is>
          <t>$40/mo</t>
        </is>
      </c>
      <c r="F25" s="107" t="n">
        <v>1440</v>
      </c>
      <c r="G25" s="107" t="n">
        <v>1440</v>
      </c>
      <c r="H25" s="76" t="inlineStr">
        <is>
          <t>+$308</t>
        </is>
      </c>
      <c r="I25" s="108" t="inlineStr">
        <is>
          <t>29 months</t>
        </is>
      </c>
      <c r="J25" s="106" t="inlineStr">
        <is>
          <t>Cheapest cloud at 3 yrs · still costs $308 more than local</t>
        </is>
      </c>
    </row>
    <row r="26" ht="26" customHeight="1">
      <c r="B26" s="109" t="inlineStr">
        <is>
          <t>Local Hardware</t>
        </is>
      </c>
      <c r="C26" s="61" t="inlineStr">
        <is>
          <t>Phase 4 BOM — Recommended</t>
        </is>
      </c>
      <c r="D26" s="32" t="n">
        <v>1132</v>
      </c>
      <c r="E26" s="83" t="inlineStr">
        <is>
          <t>$0/mo</t>
        </is>
      </c>
      <c r="F26" s="83" t="inlineStr">
        <is>
          <t>$0</t>
        </is>
      </c>
      <c r="G26" s="84" t="n">
        <v>1132</v>
      </c>
      <c r="H26" s="83" t="inlineStr">
        <is>
          <t>✓ Baseline</t>
        </is>
      </c>
      <c r="I26" s="110" t="inlineStr">
        <is>
          <t>N/A</t>
        </is>
      </c>
      <c r="J26" s="111" t="inlineStr">
        <is>
          <t>Lowest 3-yr TCO · full control · no monthly liability</t>
        </is>
      </c>
    </row>
    <row r="29" ht="16" customHeight="1">
      <c r="B29" s="22" t="inlineStr">
        <is>
          <t xml:space="preserve">  KEY FINDINGS</t>
        </is>
      </c>
    </row>
    <row r="30" ht="16" customHeight="1">
      <c r="B30" s="109" t="inlineStr">
        <is>
          <t xml:space="preserve">  1.  Local hardware wins on 3-year TCO in every scenario.</t>
        </is>
      </c>
    </row>
    <row r="31" ht="30" customHeight="1">
      <c r="B31" s="106" t="inlineStr">
        <is>
          <t xml:space="preserve">     The Phase 4 BOM costs $1,132 one-time. Even the cheapest cloud option (Hetzner Dedicated at $40/mo) costs $1,440 over 36 months — $308 more than owning the hardware.</t>
        </is>
      </c>
    </row>
    <row r="32" ht="16" customHeight="1">
      <c r="B32" s="109" t="inlineStr">
        <is>
          <t xml:space="preserve">  2.  Hetzner is the right cloud choice if cloud is required.</t>
        </is>
      </c>
    </row>
    <row r="33" ht="30" customHeight="1">
      <c r="B33" s="106" t="inlineStr">
        <is>
          <t xml:space="preserve">     At $40–82/month Hetzner is 2–4× cheaper than DigitalOcean and 3–7× cheaper than AWS. Use for teams without a physical space for hardware, or for geographic distribution.</t>
        </is>
      </c>
    </row>
    <row r="34" ht="16" customHeight="1">
      <c r="B34" s="109" t="inlineStr">
        <is>
          <t xml:space="preserve">  3.  AWS 3-yr Reserved is a trap at this scale.</t>
        </is>
      </c>
    </row>
    <row r="35" ht="30" customHeight="1">
      <c r="B35" s="106" t="inlineStr">
        <is>
          <t xml:space="preserve">     At $120/mo × 36 months = $4,320 — nearly 4× the local hardware cost. The 3-yr lock-in eliminates flexibility precisely when a new product most needs it.</t>
        </is>
      </c>
    </row>
    <row r="36" ht="16" customHeight="1">
      <c r="B36" s="109" t="inlineStr">
        <is>
          <t xml:space="preserve">  4.  Cloud makes sense for variable or unpredictable usage.</t>
        </is>
      </c>
    </row>
    <row r="37" ht="30" customHeight="1">
      <c r="B37" s="106" t="inlineStr">
        <is>
          <t xml:space="preserve">     If the system will be used intensively for 1–2 months then sit idle, cloud avoids the fixed hardware investment. Break-even for DigitalOcean is ~7 months; Hetzner Cloud ~14 months.</t>
        </is>
      </c>
    </row>
    <row r="38" ht="16" customHeight="1">
      <c r="B38" s="109" t="inlineStr">
        <is>
          <t xml:space="preserve">  5.  Air-gapped / offline deployment requires local hardware.</t>
        </is>
      </c>
    </row>
    <row r="39" ht="30" customHeight="1">
      <c r="B39" s="106" t="inlineStr">
        <is>
          <t xml:space="preserve">     Docker containers cannot be pulled from the internet in a SCIF or restricted environment. Local hardware with pre-pulled images is the only option for DoD / classified deployments.</t>
        </is>
      </c>
    </row>
  </sheetData>
  <mergeCells count="15">
    <mergeCell ref="B29:J29"/>
    <mergeCell ref="B33:J33"/>
    <mergeCell ref="B38:J38"/>
    <mergeCell ref="B3:J3"/>
    <mergeCell ref="B34:J34"/>
    <mergeCell ref="B37:J37"/>
    <mergeCell ref="B36:J36"/>
    <mergeCell ref="B32:J32"/>
    <mergeCell ref="B31:J31"/>
    <mergeCell ref="B18:J18"/>
    <mergeCell ref="B1:J1"/>
    <mergeCell ref="B35:J35"/>
    <mergeCell ref="B39:J39"/>
    <mergeCell ref="B30:J30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2026-03-25T14:49:58Z</dcterms:created>
  <dcterms:modified xmlns:dcterms="http://purl.org/dc/terms/" xmlns:xsi="http://www.w3.org/2001/XMLSchema-instance" xsi:type="dcterms:W3CDTF">2026-03-25T14:49:58Z</dcterms:modified>
</cp:coreProperties>
</file>