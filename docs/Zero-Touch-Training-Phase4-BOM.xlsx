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ardware" sheetId="2" state="visible" r:id="rId4"/>
    <sheet name="Software" sheetId="3" state="visible" r:id="rId5"/>
    <sheet name="Sizing Rationale" sheetId="4" state="visible" r:id="rId6"/>
    <sheet name="Altern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<sst xmlns="http://schemas.openxmlformats.org/spreadsheetml/2006/main" count="217" uniqueCount="193">
  <si>
    <t xml:space="preserve">Zero-Touch Training — Phase 4 Infrastructure BOM</t>
  </si>
  <si>
    <t xml:space="preserve">Containerized Docker Sandbox  ·  Maximum 10 Concurrent Users</t>
  </si>
  <si>
    <t xml:space="preserve">Prepared: March 23, 2026</t>
  </si>
  <si>
    <t xml:space="preserve">Scope: Compute, storage, networking, power protection, and software for a self-hosted training lab</t>
  </si>
  <si>
    <t xml:space="preserve">Category</t>
  </si>
  <si>
    <t xml:space="preserve">Description</t>
  </si>
  <si>
    <t xml:space="preserve">Item Count</t>
  </si>
  <si>
    <t xml:space="preserve">Subtotal</t>
  </si>
  <si>
    <t xml:space="preserve">Compute</t>
  </si>
  <si>
    <t xml:space="preserve">Server, RAM, primary storage</t>
  </si>
  <si>
    <t xml:space="preserve">Storage</t>
  </si>
  <si>
    <t xml:space="preserve">Backup / media drive</t>
  </si>
  <si>
    <t xml:space="preserve">Networking</t>
  </si>
  <si>
    <t xml:space="preserve">Switch, cables, WiFi access point</t>
  </si>
  <si>
    <t xml:space="preserve">Power</t>
  </si>
  <si>
    <t xml:space="preserve">UPS battery backup</t>
  </si>
  <si>
    <t xml:space="preserve">Setup</t>
  </si>
  <si>
    <t xml:space="preserve">Display and input (one-time only)</t>
  </si>
  <si>
    <t xml:space="preserve">Software</t>
  </si>
  <si>
    <t xml:space="preserve">Licenses — all open source / free</t>
  </si>
  <si>
    <t xml:space="preserve">TOTAL</t>
  </si>
  <si>
    <t xml:space="preserve">All categories</t>
  </si>
  <si>
    <t xml:space="preserve">Notes</t>
  </si>
  <si>
    <t xml:space="preserve">• All software components are open source (MIT / Apache 2.0 / GPL). No ongoing license fees.</t>
  </si>
  <si>
    <t xml:space="preserve">• Prices are US market estimates (March 2026). New units unless noted as refurbished.</t>
  </si>
  <si>
    <t xml:space="preserve">• Cloud alternative: equivalent capacity on DigitalOcean / Hetzner runs $60–90/month opex.</t>
  </si>
  <si>
    <t xml:space="preserve">• UPS runtime at full load (~300W): approximately 12–15 minutes — sufficient for graceful shutdown.</t>
  </si>
  <si>
    <t xml:space="preserve">• WiFi access point is optional if learners connect via wired terminals.</t>
  </si>
  <si>
    <t xml:space="preserve">• Setup peripherals (monitor, keyboard) are one-time and can be repurposed after initial config.</t>
  </si>
  <si>
    <t xml:space="preserve">Hardware Bill of Materials — Phase 4 Docker Sandbox (Max 10 Concurrent Users)</t>
  </si>
  <si>
    <t xml:space="preserve">#</t>
  </si>
  <si>
    <t xml:space="preserve">Item / Model</t>
  </si>
  <si>
    <t xml:space="preserve">Specifications</t>
  </si>
  <si>
    <t xml:space="preserve">Qty</t>
  </si>
  <si>
    <t xml:space="preserve">Unit Cost</t>
  </si>
  <si>
    <t xml:space="preserve">Total</t>
  </si>
  <si>
    <t xml:space="preserve">Notes / Source</t>
  </si>
  <si>
    <t xml:space="preserve">  COMPUTE  —  Server, RAM, Primary Storage</t>
  </si>
  <si>
    <t xml:space="preserve">Mini Workstation</t>
  </si>
  <si>
    <t xml:space="preserve">Minisforum MS-01 (or equivalent SFF workstation)
CPU: Intel Core i9-12900H — 14 cores / 20 threads, up to 5.0 GHz
Integrated NIC: 2x 2.5GbE + 1x 10GbE
Form factor: 19.5 × 19.5 × 6.2 cm  ·  Fanless option available</t>
  </si>
  <si>
    <t xml:space="preserve">Barebones unit — no RAM or storage included.
Alt: Used Dell Precision 3660 Tower (~$500 refurb, 12-core i7).
Source: Minisforum / Amazon (March 2026)</t>
  </si>
  <si>
    <t xml:space="preserve">RAM — 64 GB DDR5</t>
  </si>
  <si>
    <t xml:space="preserve">2x 32GB DDR5-4800 SODIMM (compatible with MS-01 / NUC-class boards)
Justification: 10 containers × ~2 GB each = 20 GB active;
OS + Docker daemon + API + 30% headroom → 64 GB comfortable ceiling</t>
  </si>
  <si>
    <t xml:space="preserve">Crucial CT2K32G48C40S5 or Corsair SODIMM DDR5 4800.
Source: Amazon / Crucial.com (March 2026)</t>
  </si>
  <si>
    <t xml:space="preserve">Primary SSD — 1 TB NVMe</t>
  </si>
  <si>
    <t xml:space="preserve">1TB NVMe PCIe 4.0 SSD (M.2 2280)
Usage: OS (Ubuntu 22.04, ~20 GB) + Docker images (~15 GB) +
container ephemeral storage + scenario media (~1 GB) + logs</t>
  </si>
  <si>
    <t xml:space="preserve">Samsung 980 Pro or WD Black SN850X.
Source: Amazon / B&amp;H (March 2026)</t>
  </si>
  <si>
    <t xml:space="preserve">Compute Subtotal</t>
  </si>
  <si>
    <t xml:space="preserve">  STORAGE  —  Backup / Media Drive</t>
  </si>
  <si>
    <t xml:space="preserve">Backup SSD — 2 TB 2.5"</t>
  </si>
  <si>
    <t xml:space="preserve">2TB 2.5" SATA SSD (external USB-C or internal 2nd bay)
Usage: Scenario media, video files, DB backups, system snapshots
Note: Spinning HDD is a cheaper option if the unit has a 2nd bay</t>
  </si>
  <si>
    <t xml:space="preserve">Samsung 870 EVO 2TB or equivalent.
Source: Amazon / B&amp;H (March 2026)</t>
  </si>
  <si>
    <t xml:space="preserve">Storage Subtotal</t>
  </si>
  <si>
    <t xml:space="preserve">  NETWORKING  —  Switch, Cabling, Wireless</t>
  </si>
  <si>
    <t xml:space="preserve">Managed Gigabit Switch — 8-port</t>
  </si>
  <si>
    <t xml:space="preserve">8-port Gigabit managed switch
TP-Link TL-SG108E or equivalent
Connects: server + up to 7 wired learner terminals</t>
  </si>
  <si>
    <t xml:space="preserve">TP-Link TL-SG108E (EasySmart managed).
Source: Amazon (March 2026)</t>
  </si>
  <si>
    <t xml:space="preserve">Cat6 Patch Cables — 3 ft</t>
  </si>
  <si>
    <t xml:space="preserve">Cat6 RJ45 patch cables, 3 ft
Server to switch + spares</t>
  </si>
  <si>
    <t xml:space="preserve">AmazonBasics Cat6 or equivalent.
Source: Amazon (March 2026)</t>
  </si>
  <si>
    <t xml:space="preserve">WiFi 6 Access Point (Optional)</t>
  </si>
  <si>
    <t xml:space="preserve">802.11ax (WiFi 6) ceiling/wall AP
TP-Link EAP670 or Ubiquiti UniFi U6-Lite
For tablet-based learners on the warehouse floor
Requires PoE switch or PoE injector (included in EAP670 kit)</t>
  </si>
  <si>
    <t xml:space="preserve">OPTIONAL — omit if all learner terminals are wired.
TP-Link EAP670 with PoE injector included.
Source: Amazon / TP-Link (March 2026)</t>
  </si>
  <si>
    <t xml:space="preserve">Networking Subtotal</t>
  </si>
  <si>
    <t xml:space="preserve">  POWER PROTECTION  —  UPS Battery Backup</t>
  </si>
  <si>
    <t xml:space="preserve">UPS — 750 VA / 450W</t>
  </si>
  <si>
    <t xml:space="preserve">750 VA / 450W line-interactive UPS
CyberPower CP750LCD or APC BX750M
Runtime at 300W load: ~12–15 min (graceful shutdown)
6 protected outlets + USB/serial management port</t>
  </si>
  <si>
    <t xml:space="preserve">Sufficient for server + switch. Provides graceful shutdown time.
CyberPower CP750LCD or APC BX750M.
Source: Amazon / CyberPower (March 2026)</t>
  </si>
  <si>
    <t xml:space="preserve">Power Subtotal</t>
  </si>
  <si>
    <t xml:space="preserve">  SETUP PERIPHERALS  —  One-Time Configuration (can be repurposed after)</t>
  </si>
  <si>
    <t xml:space="preserve">Monitor — HDMI (setup only)</t>
  </si>
  <si>
    <t xml:space="preserve">Any HDMI display, 1080p minimum
Used for initial Ubuntu Server setup and admin tasks only
Server runs headless after configuration</t>
  </si>
  <si>
    <t xml:space="preserve">Any budget 1080p monitor. Can substitute a TV or repurpose existing display.
Source: Amazon (March 2026)</t>
  </si>
  <si>
    <t xml:space="preserve">USB Keyboard + Mouse (setup only)</t>
  </si>
  <si>
    <t xml:space="preserve">USB keyboard and mouse combo
Required for initial OS installation only
Can be repurposed or shared after setup</t>
  </si>
  <si>
    <t xml:space="preserve">Any budget wired USB combo (Logitech MK120 or equivalent).
Source: Amazon (March 2026)</t>
  </si>
  <si>
    <t xml:space="preserve">Setup Subtotal</t>
  </si>
  <si>
    <t xml:space="preserve">HARDWARE GRAND TOTAL</t>
  </si>
  <si>
    <t xml:space="preserve">Software Stack — Zero-Touch Training Phase 4</t>
  </si>
  <si>
    <t xml:space="preserve">Component</t>
  </si>
  <si>
    <t xml:space="preserve">Purpose</t>
  </si>
  <si>
    <t xml:space="preserve">License / Cost</t>
  </si>
  <si>
    <t xml:space="preserve">Ubuntu Server 22.04 LTS</t>
  </si>
  <si>
    <t xml:space="preserve">Operating System</t>
  </si>
  <si>
    <t xml:space="preserve">Server OS — stable, widely supported, 5-year LTS</t>
  </si>
  <si>
    <t xml:space="preserve">Free (open source)</t>
  </si>
  <si>
    <t xml:space="preserve">Recommended over Ubuntu Desktop — smaller footprint, no GUI overhead</t>
  </si>
  <si>
    <t xml:space="preserve">Docker Engine + Compose</t>
  </si>
  <si>
    <t xml:space="preserve">Container Runtime</t>
  </si>
  <si>
    <t xml:space="preserve">Runs and orchestrates ERPNext containers; isolates each user session</t>
  </si>
  <si>
    <t xml:space="preserve">Free (Apache 2.0)</t>
  </si>
  <si>
    <t xml:space="preserve">docker.io package from Ubuntu repos. Compose V2 included.</t>
  </si>
  <si>
    <t xml:space="preserve">ERPNext — Community Edition</t>
  </si>
  <si>
    <t xml:space="preserve">ERP Sandbox</t>
  </si>
  <si>
    <t xml:space="preserve">SAP-equivalent ERP system; Purchase Receipt = MIGO Goods Receipt analog</t>
  </si>
  <si>
    <t xml:space="preserve">Free (MIT License)</t>
  </si>
  <si>
    <t xml:space="preserve">Deployed via official frappe/erpnext Docker image. One container per session.</t>
  </si>
  <si>
    <t xml:space="preserve">MariaDB (via ERPNext image)</t>
  </si>
  <si>
    <t xml:space="preserve">Database</t>
  </si>
  <si>
    <t xml:space="preserve">ERPNext's database backend — included in official Docker image</t>
  </si>
  <si>
    <t xml:space="preserve">Free (GPL)</t>
  </si>
  <si>
    <t xml:space="preserve">Bundled with ERPNext Docker image. No separate install required.</t>
  </si>
  <si>
    <t xml:space="preserve">Nginx</t>
  </si>
  <si>
    <t xml:space="preserve">Web / Reverse Proxy</t>
  </si>
  <si>
    <t xml:space="preserve">Serves static trainer files; routes API and container traffic</t>
  </si>
  <si>
    <t xml:space="preserve">Free (BSD)</t>
  </si>
  <si>
    <t xml:space="preserve">Handles HTTPS termination and routes /api traffic to FastAPI backend.</t>
  </si>
  <si>
    <t xml:space="preserve">FastAPI (Python)</t>
  </si>
  <si>
    <t xml:space="preserve">Progress API</t>
  </si>
  <si>
    <t xml:space="preserve">Lightweight REST API for learner progress, scores, leaderboard</t>
  </si>
  <si>
    <t xml:space="preserve">Free (MIT)</t>
  </si>
  <si>
    <t xml:space="preserve">pip install fastapi uvicorn. Runs as a systemd service.</t>
  </si>
  <si>
    <t xml:space="preserve">PostgreSQL</t>
  </si>
  <si>
    <t xml:space="preserve">Progress Database</t>
  </si>
  <si>
    <t xml:space="preserve">Stores learner progress, completion records, scores</t>
  </si>
  <si>
    <t xml:space="preserve">Free (PostgreSQL License)</t>
  </si>
  <si>
    <t xml:space="preserve">Alternative: SQLite for a pilot — zero config, single file database.</t>
  </si>
  <si>
    <t xml:space="preserve">Playwright (Python)</t>
  </si>
  <si>
    <t xml:space="preserve">Capture Pipeline</t>
  </si>
  <si>
    <t xml:space="preserve">Browser automation for capturing real-system screenshots</t>
  </si>
  <si>
    <t xml:space="preserve">Runs on developer machine, not the server. pip install playwright.</t>
  </si>
  <si>
    <t xml:space="preserve">Certbot / Let's Encrypt</t>
  </si>
  <si>
    <t xml:space="preserve">TLS / HTTPS</t>
  </si>
  <si>
    <t xml:space="preserve">Free SSL certificates for HTTPS if accessible over LAN or internet</t>
  </si>
  <si>
    <t xml:space="preserve">Optional for LAN-only deployment. Required if accessible from outside network.</t>
  </si>
  <si>
    <t xml:space="preserve">Zero-Touch Training App</t>
  </si>
  <si>
    <t xml:space="preserve">Training Platform</t>
  </si>
  <si>
    <t xml:space="preserve">React SPA game engine + scenario packs + landing page</t>
  </si>
  <si>
    <t xml:space="preserve">Internal / Proprietary</t>
  </si>
  <si>
    <t xml:space="preserve">Served as static files by Nginx. No runtime compute cost.</t>
  </si>
  <si>
    <t xml:space="preserve">Ubuntu Pro (optional)</t>
  </si>
  <si>
    <t xml:space="preserve">Security</t>
  </si>
  <si>
    <t xml:space="preserve">Extended security patching and compliance features</t>
  </si>
  <si>
    <t xml:space="preserve">Free for up to 5 machines (personal/small team)</t>
  </si>
  <si>
    <t xml:space="preserve">OPTIONAL. Register at ubuntu.com/pro. Adds 10-year security patch support.</t>
  </si>
  <si>
    <t xml:space="preserve">TOTAL SOFTWARE COST</t>
  </si>
  <si>
    <t xml:space="preserve">$0.00</t>
  </si>
  <si>
    <t xml:space="preserve">Sizing Rationale — 10 Concurrent Docker Sessions</t>
  </si>
  <si>
    <t xml:space="preserve">RAM Sizing</t>
  </si>
  <si>
    <t xml:space="preserve">Per Session (GB)</t>
  </si>
  <si>
    <t xml:space="preserve">× Sessions</t>
  </si>
  <si>
    <t xml:space="preserve">Total (GB)</t>
  </si>
  <si>
    <t xml:space="preserve">ERPNext application (Frappe/Python)</t>
  </si>
  <si>
    <t xml:space="preserve">Python workers + Redis cache</t>
  </si>
  <si>
    <t xml:space="preserve">MariaDB per container</t>
  </si>
  <si>
    <t xml:space="preserve">DB process per session</t>
  </si>
  <si>
    <t xml:space="preserve">Sub-total: active containers</t>
  </si>
  <si>
    <t xml:space="preserve">Ubuntu OS + Docker daemon</t>
  </si>
  <si>
    <t xml:space="preserve">Host OS baseline</t>
  </si>
  <si>
    <t xml:space="preserve">Nginx + FastAPI progress API</t>
  </si>
  <si>
    <t xml:space="preserve">Trainer web + backend</t>
  </si>
  <si>
    <t xml:space="preserve">Buffer / headroom (30%)</t>
  </si>
  <si>
    <t xml:space="preserve">Prevents OOM kills</t>
  </si>
  <si>
    <t xml:space="preserve">TOTAL RAM REQUIRED</t>
  </si>
  <si>
    <t xml:space="preserve">→ 32 GB minimum, 64 GB specified</t>
  </si>
  <si>
    <t xml:space="preserve">CPU &amp; Storage Sizing</t>
  </si>
  <si>
    <t xml:space="preserve">CPU — workload profile</t>
  </si>
  <si>
    <t xml:space="preserve">ERPNext sessions are I/O-bound, not CPU-bound. Learners click 1 field every
5–30 seconds. Peak CPU: 10 simultaneous DB writes at level transition.
14-core i9-12900H: vastly over-specced. 8-core minimum would suffice.</t>
  </si>
  <si>
    <t xml:space="preserve">CPU — why 14 cores anyway</t>
  </si>
  <si>
    <t xml:space="preserve">The MS-01 / equivalent ships with this CPU. No lower-core option at the same
price point. The extra cores benefit the Playwright capture pipeline (parallelism)
and future growth to 20+ users without hardware change.</t>
  </si>
  <si>
    <t xml:space="preserve">Storage — container overhead</t>
  </si>
  <si>
    <t xml:space="preserve">ERPNext Docker image: ~4 GB. Each session container uses copy-on-write (CoW)
storage — delta from base image only (~50–200 MB per active session).
10 active sessions: ~5–6 GB total container storage.</t>
  </si>
  <si>
    <t xml:space="preserve">Storage — total budget</t>
  </si>
  <si>
    <t xml:space="preserve">OS: 20 GB  |  Docker images: 15 GB  |  Containers (10x CoW): 6 GB
Scenario media: 1 GB  |  Logs + DB: 5 GB  |  Buffer: 450 GB free
→ 1 TB NVMe is comfortable. 500 GB minimum would also work.</t>
  </si>
  <si>
    <t xml:space="preserve">Alternative Configurations &amp; Cloud Comparison</t>
  </si>
  <si>
    <t xml:space="preserve">Option</t>
  </si>
  <si>
    <t xml:space="preserve">One-Time Cost</t>
  </si>
  <si>
    <t xml:space="preserve">Monthly Opex</t>
  </si>
  <si>
    <t xml:space="preserve">Recommended (this BOM)</t>
  </si>
  <si>
    <t xml:space="preserve">Minisforum MS-01 · 64 GB RAM · 1 TB NVMe
Max 10 concurrent sessions. Quiet SFF form factor.
Fanless option available for dusty environments.</t>
  </si>
  <si>
    <t xml:space="preserve">$994</t>
  </si>
  <si>
    <t xml:space="preserve">$0</t>
  </si>
  <si>
    <t xml:space="preserve">Best balance of cost, size, and headroom. Handles 20+ users with RAM upgrade only.</t>
  </si>
  <si>
    <t xml:space="preserve">Budget — Used Workstation</t>
  </si>
  <si>
    <t xml:space="preserve">Refurbished Dell Precision 3660 / HP Z4 G4
64 GB DDR4 ECC · 1 TB NVMe · 12-core CPU
Slightly larger footprint; tower form factor.</t>
  </si>
  <si>
    <t xml:space="preserve">$700–900</t>
  </si>
  <si>
    <t xml:space="preserve">Good choice if cost is primary concern. ECC memory adds stability for DB workloads.</t>
  </si>
  <si>
    <t xml:space="preserve">Compact — NUC / Mini PC</t>
  </si>
  <si>
    <t xml:space="preserve">Intel NUC 13 Pro (or Beelink EQ13)
Max RAM: 64 GB (2x 32 GB SODIMM)
Smallest footprint — fits in a desk drawer.</t>
  </si>
  <si>
    <t xml:space="preserve">$700–850</t>
  </si>
  <si>
    <t xml:space="preserve">Good for office/training room. Limited expansion. One 2.5 GbE port only.</t>
  </si>
  <si>
    <t xml:space="preserve">Cloud — DigitalOcean Droplet</t>
  </si>
  <si>
    <t xml:space="preserve">Memory-Optimized 32 GB Droplet
8 vCPU · 32 GB RAM · 100 GB SSD
Scales on demand; no hardware to manage.</t>
  </si>
  <si>
    <t xml:space="preserve">$168/mo</t>
  </si>
  <si>
    <t xml:space="preserve">Best for variable/unpredictable usage. No upfront cost. Break-even vs. local: ~6 months.</t>
  </si>
  <si>
    <t xml:space="preserve">Cloud — Hetzner (EU/US)</t>
  </si>
  <si>
    <t xml:space="preserve">CCX23 · 4 vCPU · 16 GB RAM (starter)
Upgrade to CCX33 (8 vCPU · 32 GB) for 10 users</t>
  </si>
  <si>
    <t xml:space="preserve">$55–89/mo</t>
  </si>
  <si>
    <t xml:space="preserve">Most cost-effective cloud option. EU data center (Helsinki, Nuremberg, Ashburn).</t>
  </si>
  <si>
    <t xml:space="preserve">Air-Gapped / DoD</t>
  </si>
  <si>
    <t xml:space="preserve">Same hardware BOM + no external network dependency
All Docker images pre-pulled and stored locally
Suitable for classified / restricted network environments.</t>
  </si>
  <si>
    <t xml:space="preserve">Same as recommended</t>
  </si>
  <si>
    <t xml:space="preserve">Pull all images before deployment. No internet required at runtime. Required for NIPR/SIPR-adjacent use cases.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</si>
</sst>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&quot; GB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33D80"/>
      <name val="Arial"/>
      <family val="0"/>
      <charset val="1"/>
    </font>
    <font>
      <sz val="12"/>
      <color rgb="FF1A3A5C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sz val="9.5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107E3E"/>
      <name val="Arial"/>
      <family val="0"/>
      <charset val="1"/>
    </font>
    <font>
      <i val="true"/>
      <sz val="9"/>
      <color rgb="FF1A1A2E"/>
      <name val="Arial"/>
      <family val="0"/>
      <charset val="1"/>
    </font>
    <font>
      <b val="true"/>
      <sz val="10"/>
      <color rgb="FFE87600"/>
      <name val="Arial"/>
      <family val="0"/>
      <charset val="1"/>
    </font>
    <font>
      <b val="true"/>
      <sz val="12"/>
      <color rgb="FF107E3E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.5"/>
      <color rgb="FF1A1A2E"/>
      <name val="Arial"/>
      <family val="0"/>
      <charset val="1"/>
    </font>
    <font>
      <sz val="9.5"/>
      <color rgb="FF1A1A2E"/>
      <name val="Arial"/>
      <family val="0"/>
      <charset val="1"/>
    </font>
    <font>
      <sz val="10"/>
      <color rgb="FF107E3E"/>
      <name val="Arial"/>
      <family val="0"/>
      <charset val="1"/>
    </font>
    <font>
      <sz val="10"/>
      <color rgb="FFE876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33D80"/>
        <bgColor rgb="FF1A3A5C"/>
      </patternFill>
    </fill>
    <fill>
      <patternFill patternType="solid">
        <fgColor rgb="FFF5F8FC"/>
        <bgColor rgb="FFEBF3FB"/>
      </patternFill>
    </fill>
    <fill>
      <patternFill patternType="solid">
        <fgColor rgb="FFFFFFFF"/>
        <bgColor rgb="FFF5F8FC"/>
      </patternFill>
    </fill>
    <fill>
      <patternFill patternType="solid">
        <fgColor rgb="FF1A3A5C"/>
        <bgColor rgb="FF033D80"/>
      </patternFill>
    </fill>
    <fill>
      <patternFill patternType="solid">
        <fgColor rgb="FFD0E4FF"/>
        <bgColor rgb="FFDEE3EA"/>
      </patternFill>
    </fill>
    <fill>
      <patternFill patternType="solid">
        <fgColor rgb="FFEBF3FB"/>
        <bgColor rgb="FFE6F4EA"/>
      </patternFill>
    </fill>
    <fill>
      <patternFill patternType="solid">
        <fgColor rgb="FFE6F4EA"/>
        <bgColor rgb="FFEBF3FB"/>
      </patternFill>
    </fill>
    <fill>
      <patternFill patternType="solid">
        <fgColor rgb="FFFFF4E5"/>
        <bgColor rgb="FFF5F8F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33D80"/>
      </bottom>
      <diagonal/>
    </border>
    <border diagonalUp="false" diagonalDown="false">
      <left style="thin">
        <color rgb="FF033D80"/>
      </left>
      <right style="thin">
        <color rgb="FF033D80"/>
      </right>
      <top style="thin">
        <color rgb="FF033D80"/>
      </top>
      <bottom style="thin">
        <color rgb="FF033D80"/>
      </bottom>
      <diagonal/>
    </border>
    <border diagonalUp="false" diagonalDown="false">
      <left style="thin">
        <color rgb="FFDEE3EA"/>
      </left>
      <right style="thin">
        <color rgb="FFDEE3EA"/>
      </right>
      <top style="thin">
        <color rgb="FFDEE3EA"/>
      </top>
      <bottom style="thin">
        <color rgb="FFDEE3EA"/>
      </bottom>
      <diagonal/>
    </border>
    <border diagonalUp="false" diagonalDown="false">
      <left style="thin">
        <color rgb="FF033D80"/>
      </left>
      <right/>
      <top style="thin">
        <color rgb="FF033D80"/>
      </top>
      <bottom style="thin">
        <color rgb="FF033D80"/>
      </bottom>
      <diagonal/>
    </border>
    <border diagonalUp="false" diagonalDown="false">
      <left style="thin">
        <color rgb="FFDEE3EA"/>
      </left>
      <right/>
      <top style="thin">
        <color rgb="FFDEE3EA"/>
      </top>
      <bottom style="thin">
        <color rgb="FFDE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07E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5"/>
      <rgbColor rgb="FFE6F4EA"/>
      <rgbColor rgb="FF660066"/>
      <rgbColor rgb="FFFF8080"/>
      <rgbColor rgb="FF0066CC"/>
      <rgbColor rgb="FFD0E4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EE3EA"/>
      <rgbColor rgb="FFF5F8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600"/>
      <rgbColor rgb="FF666666"/>
      <rgbColor rgb="FF969696"/>
      <rgbColor rgb="FF033D80"/>
      <rgbColor rgb="FF339966"/>
      <rgbColor rgb="FF003300"/>
      <rgbColor rgb="FF1A1A2E"/>
      <rgbColor rgb="FF993300"/>
      <rgbColor rgb="FF993366"/>
      <rgbColor rgb="FF333399"/>
      <rgbColor rgb="FF1A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38"/>
    <col collapsed="false" customWidth="true" hidden="false" outlineLevel="0" max="5" min="4" style="0" width="16"/>
    <col collapsed="false" customWidth="true" hidden="false" outlineLevel="0" max="6" min="6" style="0" width="4"/>
  </cols>
  <sheetData>
    <row r="1" customFormat="false" ht="6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19.5" hidden="false" customHeight="true" outlineLevel="0" collapsed="false">
      <c r="B3" s="2" t="s">
        <v>1</v>
      </c>
      <c r="C3" s="2"/>
      <c r="D3" s="2"/>
      <c r="E3" s="2"/>
    </row>
    <row r="4" customFormat="false" ht="15.75" hidden="false" customHeight="true" outlineLevel="0" collapsed="false">
      <c r="B4" s="3" t="s">
        <v>2</v>
      </c>
      <c r="C4" s="3"/>
      <c r="D4" s="3"/>
      <c r="E4" s="3"/>
    </row>
    <row r="5" customFormat="false" ht="15.75" hidden="false" customHeight="true" outlineLevel="0" collapsed="false">
      <c r="B5" s="3" t="s">
        <v>3</v>
      </c>
      <c r="C5" s="3"/>
      <c r="D5" s="3"/>
      <c r="E5" s="3"/>
    </row>
    <row r="6" customFormat="false" ht="15.75" hidden="false" customHeight="true" outlineLevel="0" collapsed="false">
      <c r="B6" s="4"/>
      <c r="C6" s="4"/>
      <c r="D6" s="4"/>
      <c r="E6" s="4"/>
    </row>
    <row r="7" customFormat="false" ht="9.75" hidden="false" customHeight="true" outlineLevel="0" collapsed="false">
      <c r="B7" s="5"/>
      <c r="C7" s="5"/>
      <c r="D7" s="5"/>
      <c r="E7" s="5"/>
    </row>
    <row r="9" customFormat="false" ht="18" hidden="false" customHeight="true" outlineLevel="0" collapsed="false">
      <c r="B9" s="6" t="s">
        <v>4</v>
      </c>
      <c r="C9" s="6" t="s">
        <v>5</v>
      </c>
      <c r="D9" s="7" t="s">
        <v>6</v>
      </c>
      <c r="E9" s="7" t="s">
        <v>7</v>
      </c>
    </row>
    <row r="10" customFormat="false" ht="13.5" hidden="false" customHeight="true" outlineLevel="0" collapsed="false">
      <c r="B10" s="8" t="s">
        <v>8</v>
      </c>
      <c r="C10" s="9" t="s">
        <v>9</v>
      </c>
      <c r="D10" s="10"/>
      <c r="E10" s="11" t="n">
        <f aca="false">Hardware!G3</f>
        <v>0</v>
      </c>
    </row>
    <row r="11" customFormat="false" ht="15" hidden="false" customHeight="false" outlineLevel="0" collapsed="false">
      <c r="B11" s="12" t="s">
        <v>10</v>
      </c>
      <c r="C11" s="13" t="s">
        <v>11</v>
      </c>
      <c r="D11" s="14"/>
      <c r="E11" s="15" t="n">
        <f aca="false">Hardware!G4</f>
        <v>459</v>
      </c>
    </row>
    <row r="12" customFormat="false" ht="15" hidden="false" customHeight="false" outlineLevel="0" collapsed="false">
      <c r="B12" s="8" t="s">
        <v>12</v>
      </c>
      <c r="C12" s="9" t="s">
        <v>13</v>
      </c>
      <c r="D12" s="10"/>
      <c r="E12" s="11" t="n">
        <f aca="false">Hardware!G5</f>
        <v>119</v>
      </c>
    </row>
    <row r="13" customFormat="false" ht="15" hidden="false" customHeight="false" outlineLevel="0" collapsed="false">
      <c r="B13" s="12" t="s">
        <v>14</v>
      </c>
      <c r="C13" s="13" t="s">
        <v>15</v>
      </c>
      <c r="D13" s="14"/>
      <c r="E13" s="15" t="n">
        <f aca="false">Hardware!G6</f>
        <v>79</v>
      </c>
    </row>
    <row r="14" customFormat="false" ht="15" hidden="false" customHeight="false" outlineLevel="0" collapsed="false">
      <c r="B14" s="8" t="s">
        <v>16</v>
      </c>
      <c r="C14" s="9" t="s">
        <v>17</v>
      </c>
      <c r="D14" s="10"/>
      <c r="E14" s="11" t="n">
        <f aca="false">Hardware!G7</f>
        <v>657</v>
      </c>
    </row>
    <row r="15" customFormat="false" ht="15" hidden="false" customHeight="false" outlineLevel="0" collapsed="false">
      <c r="B15" s="12" t="s">
        <v>18</v>
      </c>
      <c r="C15" s="13" t="s">
        <v>19</v>
      </c>
      <c r="D15" s="14"/>
      <c r="E15" s="15" t="str">
        <f aca="false">Software!E3</f>
        <v>Free (open source)</v>
      </c>
    </row>
    <row r="16" customFormat="false" ht="19.5" hidden="false" customHeight="true" outlineLevel="0" collapsed="false">
      <c r="B16" s="16" t="s">
        <v>20</v>
      </c>
      <c r="C16" s="17" t="s">
        <v>21</v>
      </c>
      <c r="D16" s="18"/>
      <c r="E16" s="19" t="n">
        <f aca="false">SUM(E10:E15)</f>
        <v>1314</v>
      </c>
    </row>
    <row r="19" customFormat="false" ht="15" hidden="false" customHeight="false" outlineLevel="0" collapsed="false">
      <c r="B19" s="20" t="s">
        <v>22</v>
      </c>
      <c r="C19" s="20"/>
      <c r="D19" s="20"/>
      <c r="E19" s="20"/>
    </row>
    <row r="20" customFormat="false" ht="15" hidden="false" customHeight="true" outlineLevel="0" collapsed="false">
      <c r="B20" s="21" t="s">
        <v>23</v>
      </c>
      <c r="C20" s="21"/>
      <c r="D20" s="21"/>
      <c r="E20" s="21"/>
    </row>
    <row r="21" customFormat="false" ht="15" hidden="false" customHeight="true" outlineLevel="0" collapsed="false">
      <c r="B21" s="21" t="s">
        <v>24</v>
      </c>
      <c r="C21" s="21"/>
      <c r="D21" s="21"/>
      <c r="E21" s="21"/>
    </row>
    <row r="22" customFormat="false" ht="15" hidden="false" customHeight="true" outlineLevel="0" collapsed="false">
      <c r="B22" s="21" t="s">
        <v>25</v>
      </c>
      <c r="C22" s="21"/>
      <c r="D22" s="21"/>
      <c r="E22" s="21"/>
    </row>
    <row r="23" customFormat="false" ht="15" hidden="false" customHeight="true" outlineLevel="0" collapsed="false">
      <c r="B23" s="21" t="s">
        <v>26</v>
      </c>
      <c r="C23" s="21"/>
      <c r="D23" s="21"/>
      <c r="E23" s="21"/>
    </row>
    <row r="24" customFormat="false" ht="15" hidden="false" customHeight="true" outlineLevel="0" collapsed="false">
      <c r="B24" s="21" t="s">
        <v>27</v>
      </c>
      <c r="C24" s="21"/>
      <c r="D24" s="21"/>
      <c r="E24" s="21"/>
    </row>
    <row r="25" customFormat="false" ht="15" hidden="false" customHeight="true" outlineLevel="0" collapsed="false">
      <c r="B25" s="21" t="s">
        <v>28</v>
      </c>
      <c r="C25" s="21"/>
      <c r="D25" s="21"/>
      <c r="E25" s="21"/>
    </row>
  </sheetData>
  <mergeCells count="13">
    <mergeCell ref="B2:E2"/>
    <mergeCell ref="B3:E3"/>
    <mergeCell ref="B4:E4"/>
    <mergeCell ref="B5:E5"/>
    <mergeCell ref="B6:E6"/>
    <mergeCell ref="B7:E7"/>
    <mergeCell ref="B19:E19"/>
    <mergeCell ref="B20:E20"/>
    <mergeCell ref="B21:E21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7"/>
    <col collapsed="false" customWidth="true" hidden="false" outlineLevel="0" max="8" min="7" style="0" width="14"/>
    <col collapsed="false" customWidth="true" hidden="false" outlineLevel="0" max="9" min="9" style="0" width="36"/>
  </cols>
  <sheetData>
    <row r="1" customFormat="false" ht="24" hidden="false" customHeight="true" outlineLevel="0" collapsed="false">
      <c r="B1" s="22" t="s">
        <v>29</v>
      </c>
      <c r="C1" s="22"/>
      <c r="D1" s="22"/>
      <c r="E1" s="22"/>
      <c r="F1" s="22"/>
      <c r="G1" s="22"/>
      <c r="H1" s="22"/>
      <c r="I1" s="22"/>
    </row>
    <row r="2" customFormat="false" ht="18" hidden="false" customHeight="true" outlineLevel="0" collapsed="false">
      <c r="B2" s="7" t="s">
        <v>30</v>
      </c>
      <c r="C2" s="6" t="s">
        <v>4</v>
      </c>
      <c r="D2" s="6" t="s">
        <v>31</v>
      </c>
      <c r="E2" s="6" t="s">
        <v>32</v>
      </c>
      <c r="F2" s="7" t="s">
        <v>33</v>
      </c>
      <c r="G2" s="7" t="s">
        <v>34</v>
      </c>
      <c r="H2" s="7" t="s">
        <v>35</v>
      </c>
      <c r="I2" s="6" t="s">
        <v>36</v>
      </c>
    </row>
    <row r="3" customFormat="false" ht="15.75" hidden="false" customHeight="true" outlineLevel="0" collapsed="false">
      <c r="B3" s="23" t="s">
        <v>37</v>
      </c>
      <c r="C3" s="23"/>
      <c r="D3" s="23"/>
      <c r="E3" s="23"/>
      <c r="F3" s="23"/>
      <c r="G3" s="23"/>
      <c r="H3" s="23"/>
      <c r="I3" s="23"/>
    </row>
    <row r="4" customFormat="false" ht="42" hidden="false" customHeight="true" outlineLevel="0" collapsed="false">
      <c r="B4" s="24" t="n">
        <v>1</v>
      </c>
      <c r="C4" s="9" t="s">
        <v>8</v>
      </c>
      <c r="D4" s="9" t="s">
        <v>38</v>
      </c>
      <c r="E4" s="25" t="s">
        <v>39</v>
      </c>
      <c r="F4" s="10" t="n">
        <v>1</v>
      </c>
      <c r="G4" s="11" t="n">
        <v>459</v>
      </c>
      <c r="H4" s="26" t="n">
        <f aca="false">F4*G4</f>
        <v>459</v>
      </c>
      <c r="I4" s="25" t="s">
        <v>40</v>
      </c>
    </row>
    <row r="5" customFormat="false" ht="42" hidden="false" customHeight="true" outlineLevel="0" collapsed="false">
      <c r="B5" s="27" t="n">
        <v>2</v>
      </c>
      <c r="C5" s="13" t="s">
        <v>8</v>
      </c>
      <c r="D5" s="13" t="s">
        <v>41</v>
      </c>
      <c r="E5" s="28" t="s">
        <v>42</v>
      </c>
      <c r="F5" s="14" t="n">
        <v>1</v>
      </c>
      <c r="G5" s="15" t="n">
        <v>119</v>
      </c>
      <c r="H5" s="29" t="n">
        <f aca="false">F5*G5</f>
        <v>119</v>
      </c>
      <c r="I5" s="13" t="s">
        <v>43</v>
      </c>
    </row>
    <row r="6" customFormat="false" ht="42" hidden="false" customHeight="true" outlineLevel="0" collapsed="false">
      <c r="B6" s="24" t="n">
        <v>3</v>
      </c>
      <c r="C6" s="9" t="s">
        <v>8</v>
      </c>
      <c r="D6" s="9" t="s">
        <v>44</v>
      </c>
      <c r="E6" s="25" t="s">
        <v>45</v>
      </c>
      <c r="F6" s="10" t="n">
        <v>1</v>
      </c>
      <c r="G6" s="11" t="n">
        <v>79</v>
      </c>
      <c r="H6" s="26" t="n">
        <f aca="false">F6*G6</f>
        <v>79</v>
      </c>
      <c r="I6" s="9" t="s">
        <v>46</v>
      </c>
    </row>
    <row r="7" customFormat="false" ht="15.75" hidden="false" customHeight="true" outlineLevel="0" collapsed="false">
      <c r="B7" s="30" t="s">
        <v>47</v>
      </c>
      <c r="C7" s="30"/>
      <c r="D7" s="30"/>
      <c r="E7" s="30"/>
      <c r="F7" s="30"/>
      <c r="G7" s="31" t="n">
        <f aca="false">SUM(H4:H6)</f>
        <v>657</v>
      </c>
      <c r="H7" s="32"/>
      <c r="I7" s="32"/>
    </row>
    <row r="8" customFormat="false" ht="15.75" hidden="false" customHeight="true" outlineLevel="0" collapsed="false">
      <c r="B8" s="23" t="s">
        <v>48</v>
      </c>
      <c r="C8" s="23"/>
      <c r="D8" s="23"/>
      <c r="E8" s="23"/>
      <c r="F8" s="23"/>
      <c r="G8" s="23"/>
      <c r="H8" s="23"/>
      <c r="I8" s="23"/>
    </row>
    <row r="9" customFormat="false" ht="42" hidden="false" customHeight="true" outlineLevel="0" collapsed="false">
      <c r="B9" s="24" t="n">
        <v>4</v>
      </c>
      <c r="C9" s="9" t="s">
        <v>10</v>
      </c>
      <c r="D9" s="9" t="s">
        <v>49</v>
      </c>
      <c r="E9" s="25" t="s">
        <v>50</v>
      </c>
      <c r="F9" s="10" t="n">
        <v>1</v>
      </c>
      <c r="G9" s="11" t="n">
        <v>89</v>
      </c>
      <c r="H9" s="26" t="n">
        <f aca="false">F9*G9</f>
        <v>89</v>
      </c>
      <c r="I9" s="25" t="s">
        <v>51</v>
      </c>
    </row>
    <row r="10" customFormat="false" ht="15.75" hidden="false" customHeight="true" outlineLevel="0" collapsed="false">
      <c r="B10" s="30" t="s">
        <v>52</v>
      </c>
      <c r="C10" s="30"/>
      <c r="D10" s="30"/>
      <c r="E10" s="30"/>
      <c r="F10" s="30"/>
      <c r="G10" s="31" t="n">
        <f aca="false">SUM(H9)</f>
        <v>89</v>
      </c>
      <c r="H10" s="32"/>
      <c r="I10" s="32"/>
    </row>
    <row r="11" customFormat="false" ht="15.75" hidden="false" customHeight="true" outlineLevel="0" collapsed="false">
      <c r="B11" s="23" t="s">
        <v>53</v>
      </c>
      <c r="C11" s="23"/>
      <c r="D11" s="23"/>
      <c r="E11" s="23"/>
      <c r="F11" s="23"/>
      <c r="G11" s="23"/>
      <c r="H11" s="23"/>
      <c r="I11" s="23"/>
    </row>
    <row r="12" customFormat="false" ht="42" hidden="false" customHeight="true" outlineLevel="0" collapsed="false">
      <c r="B12" s="24" t="n">
        <v>5</v>
      </c>
      <c r="C12" s="9" t="s">
        <v>12</v>
      </c>
      <c r="D12" s="9" t="s">
        <v>54</v>
      </c>
      <c r="E12" s="25" t="s">
        <v>55</v>
      </c>
      <c r="F12" s="10" t="n">
        <v>1</v>
      </c>
      <c r="G12" s="11" t="n">
        <v>34</v>
      </c>
      <c r="H12" s="26" t="n">
        <f aca="false">F12*G12</f>
        <v>34</v>
      </c>
      <c r="I12" s="9" t="s">
        <v>56</v>
      </c>
    </row>
    <row r="13" customFormat="false" ht="42" hidden="false" customHeight="true" outlineLevel="0" collapsed="false">
      <c r="B13" s="27" t="n">
        <v>6</v>
      </c>
      <c r="C13" s="13" t="s">
        <v>12</v>
      </c>
      <c r="D13" s="13" t="s">
        <v>57</v>
      </c>
      <c r="E13" s="28" t="s">
        <v>58</v>
      </c>
      <c r="F13" s="14" t="n">
        <v>5</v>
      </c>
      <c r="G13" s="15" t="n">
        <v>4</v>
      </c>
      <c r="H13" s="29" t="n">
        <f aca="false">F13*G13</f>
        <v>20</v>
      </c>
      <c r="I13" s="13" t="s">
        <v>59</v>
      </c>
    </row>
    <row r="14" customFormat="false" ht="42" hidden="false" customHeight="true" outlineLevel="0" collapsed="false">
      <c r="B14" s="24" t="n">
        <v>7</v>
      </c>
      <c r="C14" s="9" t="s">
        <v>12</v>
      </c>
      <c r="D14" s="9" t="s">
        <v>60</v>
      </c>
      <c r="E14" s="25" t="s">
        <v>61</v>
      </c>
      <c r="F14" s="10" t="n">
        <v>1</v>
      </c>
      <c r="G14" s="11" t="n">
        <v>109</v>
      </c>
      <c r="H14" s="26" t="n">
        <f aca="false">F14*G14</f>
        <v>109</v>
      </c>
      <c r="I14" s="9" t="s">
        <v>62</v>
      </c>
    </row>
    <row r="15" customFormat="false" ht="15.75" hidden="false" customHeight="true" outlineLevel="0" collapsed="false">
      <c r="B15" s="30" t="s">
        <v>63</v>
      </c>
      <c r="C15" s="30"/>
      <c r="D15" s="30"/>
      <c r="E15" s="30"/>
      <c r="F15" s="30"/>
      <c r="G15" s="31" t="n">
        <f aca="false">SUM(H12:H14)</f>
        <v>163</v>
      </c>
      <c r="H15" s="32"/>
      <c r="I15" s="32"/>
    </row>
    <row r="16" customFormat="false" ht="15.75" hidden="false" customHeight="true" outlineLevel="0" collapsed="false">
      <c r="B16" s="23" t="s">
        <v>64</v>
      </c>
      <c r="C16" s="23"/>
      <c r="D16" s="23"/>
      <c r="E16" s="23"/>
      <c r="F16" s="23"/>
      <c r="G16" s="23"/>
      <c r="H16" s="23"/>
      <c r="I16" s="23"/>
    </row>
    <row r="17" customFormat="false" ht="42" hidden="false" customHeight="true" outlineLevel="0" collapsed="false">
      <c r="B17" s="24" t="n">
        <v>8</v>
      </c>
      <c r="C17" s="9" t="s">
        <v>14</v>
      </c>
      <c r="D17" s="9" t="s">
        <v>65</v>
      </c>
      <c r="E17" s="25" t="s">
        <v>66</v>
      </c>
      <c r="F17" s="10" t="n">
        <v>1</v>
      </c>
      <c r="G17" s="11" t="n">
        <v>109</v>
      </c>
      <c r="H17" s="26" t="n">
        <f aca="false">F17*G17</f>
        <v>109</v>
      </c>
      <c r="I17" s="25" t="s">
        <v>67</v>
      </c>
    </row>
    <row r="18" customFormat="false" ht="15.75" hidden="false" customHeight="true" outlineLevel="0" collapsed="false">
      <c r="B18" s="30" t="s">
        <v>68</v>
      </c>
      <c r="C18" s="30"/>
      <c r="D18" s="30"/>
      <c r="E18" s="30"/>
      <c r="F18" s="30"/>
      <c r="G18" s="31" t="n">
        <f aca="false">SUM(H17)</f>
        <v>109</v>
      </c>
      <c r="H18" s="32"/>
      <c r="I18" s="32"/>
    </row>
    <row r="19" customFormat="false" ht="15.75" hidden="false" customHeight="true" outlineLevel="0" collapsed="false">
      <c r="B19" s="23" t="s">
        <v>69</v>
      </c>
      <c r="C19" s="23"/>
      <c r="D19" s="23"/>
      <c r="E19" s="23"/>
      <c r="F19" s="23"/>
      <c r="G19" s="23"/>
      <c r="H19" s="23"/>
      <c r="I19" s="23"/>
    </row>
    <row r="20" customFormat="false" ht="42" hidden="false" customHeight="true" outlineLevel="0" collapsed="false">
      <c r="B20" s="24" t="n">
        <v>9</v>
      </c>
      <c r="C20" s="9" t="s">
        <v>16</v>
      </c>
      <c r="D20" s="9" t="s">
        <v>70</v>
      </c>
      <c r="E20" s="25" t="s">
        <v>71</v>
      </c>
      <c r="F20" s="10" t="n">
        <v>1</v>
      </c>
      <c r="G20" s="11" t="n">
        <v>89</v>
      </c>
      <c r="H20" s="26" t="n">
        <f aca="false">F20*G20</f>
        <v>89</v>
      </c>
      <c r="I20" s="25" t="s">
        <v>72</v>
      </c>
    </row>
    <row r="21" customFormat="false" ht="42" hidden="false" customHeight="true" outlineLevel="0" collapsed="false">
      <c r="B21" s="27" t="n">
        <v>10</v>
      </c>
      <c r="C21" s="13" t="s">
        <v>16</v>
      </c>
      <c r="D21" s="13" t="s">
        <v>73</v>
      </c>
      <c r="E21" s="28" t="s">
        <v>74</v>
      </c>
      <c r="F21" s="14" t="n">
        <v>1</v>
      </c>
      <c r="G21" s="15" t="n">
        <v>25</v>
      </c>
      <c r="H21" s="29" t="n">
        <f aca="false">F21*G21</f>
        <v>25</v>
      </c>
      <c r="I21" s="13" t="s">
        <v>75</v>
      </c>
    </row>
    <row r="22" customFormat="false" ht="15.75" hidden="false" customHeight="true" outlineLevel="0" collapsed="false">
      <c r="B22" s="30" t="s">
        <v>76</v>
      </c>
      <c r="C22" s="30"/>
      <c r="D22" s="30"/>
      <c r="E22" s="30"/>
      <c r="F22" s="30"/>
      <c r="G22" s="31" t="n">
        <f aca="false">SUM(H20:H21)</f>
        <v>114</v>
      </c>
      <c r="H22" s="32"/>
      <c r="I22" s="32"/>
    </row>
    <row r="24" customFormat="false" ht="21.75" hidden="false" customHeight="true" outlineLevel="0" collapsed="false">
      <c r="B24" s="33" t="s">
        <v>77</v>
      </c>
      <c r="C24" s="33"/>
      <c r="D24" s="33"/>
      <c r="E24" s="33"/>
      <c r="F24" s="33"/>
      <c r="G24" s="34" t="n">
        <f aca="false">G7+G10+G15+G18+G22</f>
        <v>1132</v>
      </c>
      <c r="H24" s="35"/>
      <c r="I24" s="35"/>
    </row>
  </sheetData>
  <mergeCells count="12">
    <mergeCell ref="B1:I1"/>
    <mergeCell ref="B3:I3"/>
    <mergeCell ref="B7:F7"/>
    <mergeCell ref="B8:I8"/>
    <mergeCell ref="B10:F10"/>
    <mergeCell ref="B11:I11"/>
    <mergeCell ref="B15:F15"/>
    <mergeCell ref="B16:I16"/>
    <mergeCell ref="B18:F18"/>
    <mergeCell ref="B19:I19"/>
    <mergeCell ref="B22:F22"/>
    <mergeCell ref="B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40"/>
  </cols>
  <sheetData>
    <row r="1" customFormat="false" ht="24" hidden="false" customHeight="true" outlineLevel="0" collapsed="false">
      <c r="B1" s="22" t="s">
        <v>78</v>
      </c>
      <c r="C1" s="22"/>
      <c r="D1" s="22"/>
      <c r="E1" s="22"/>
      <c r="F1" s="22"/>
      <c r="G1" s="22"/>
    </row>
    <row r="2" customFormat="false" ht="18" hidden="false" customHeight="true" outlineLevel="0" collapsed="false">
      <c r="B2" s="6" t="s">
        <v>79</v>
      </c>
      <c r="C2" s="6" t="s">
        <v>4</v>
      </c>
      <c r="D2" s="6" t="s">
        <v>80</v>
      </c>
      <c r="E2" s="7" t="s">
        <v>81</v>
      </c>
      <c r="F2" s="6" t="s">
        <v>22</v>
      </c>
    </row>
    <row r="3" customFormat="false" ht="30" hidden="false" customHeight="true" outlineLevel="0" collapsed="false">
      <c r="B3" s="36" t="s">
        <v>82</v>
      </c>
      <c r="C3" s="9" t="s">
        <v>83</v>
      </c>
      <c r="D3" s="25" t="s">
        <v>84</v>
      </c>
      <c r="E3" s="37" t="s">
        <v>85</v>
      </c>
      <c r="F3" s="38" t="s">
        <v>86</v>
      </c>
    </row>
    <row r="4" customFormat="false" ht="30" hidden="false" customHeight="true" outlineLevel="0" collapsed="false">
      <c r="B4" s="39" t="s">
        <v>87</v>
      </c>
      <c r="C4" s="13" t="s">
        <v>88</v>
      </c>
      <c r="D4" s="28" t="s">
        <v>89</v>
      </c>
      <c r="E4" s="37" t="s">
        <v>90</v>
      </c>
      <c r="F4" s="40" t="s">
        <v>91</v>
      </c>
    </row>
    <row r="5" customFormat="false" ht="30" hidden="false" customHeight="true" outlineLevel="0" collapsed="false">
      <c r="B5" s="36" t="s">
        <v>92</v>
      </c>
      <c r="C5" s="9" t="s">
        <v>93</v>
      </c>
      <c r="D5" s="25" t="s">
        <v>94</v>
      </c>
      <c r="E5" s="37" t="s">
        <v>95</v>
      </c>
      <c r="F5" s="38" t="s">
        <v>96</v>
      </c>
    </row>
    <row r="6" customFormat="false" ht="30" hidden="false" customHeight="true" outlineLevel="0" collapsed="false">
      <c r="B6" s="39" t="s">
        <v>97</v>
      </c>
      <c r="C6" s="13" t="s">
        <v>98</v>
      </c>
      <c r="D6" s="28" t="s">
        <v>99</v>
      </c>
      <c r="E6" s="37" t="s">
        <v>100</v>
      </c>
      <c r="F6" s="40" t="s">
        <v>101</v>
      </c>
    </row>
    <row r="7" customFormat="false" ht="30" hidden="false" customHeight="true" outlineLevel="0" collapsed="false">
      <c r="B7" s="36" t="s">
        <v>102</v>
      </c>
      <c r="C7" s="9" t="s">
        <v>103</v>
      </c>
      <c r="D7" s="25" t="s">
        <v>104</v>
      </c>
      <c r="E7" s="37" t="s">
        <v>105</v>
      </c>
      <c r="F7" s="38" t="s">
        <v>106</v>
      </c>
    </row>
    <row r="8" customFormat="false" ht="30" hidden="false" customHeight="true" outlineLevel="0" collapsed="false">
      <c r="B8" s="39" t="s">
        <v>107</v>
      </c>
      <c r="C8" s="13" t="s">
        <v>108</v>
      </c>
      <c r="D8" s="28" t="s">
        <v>109</v>
      </c>
      <c r="E8" s="37" t="s">
        <v>110</v>
      </c>
      <c r="F8" s="40" t="s">
        <v>111</v>
      </c>
    </row>
    <row r="9" customFormat="false" ht="30" hidden="false" customHeight="true" outlineLevel="0" collapsed="false">
      <c r="B9" s="36" t="s">
        <v>112</v>
      </c>
      <c r="C9" s="9" t="s">
        <v>113</v>
      </c>
      <c r="D9" s="25" t="s">
        <v>114</v>
      </c>
      <c r="E9" s="37" t="s">
        <v>115</v>
      </c>
      <c r="F9" s="38" t="s">
        <v>116</v>
      </c>
    </row>
    <row r="10" customFormat="false" ht="30" hidden="false" customHeight="true" outlineLevel="0" collapsed="false">
      <c r="B10" s="39" t="s">
        <v>117</v>
      </c>
      <c r="C10" s="13" t="s">
        <v>118</v>
      </c>
      <c r="D10" s="28" t="s">
        <v>119</v>
      </c>
      <c r="E10" s="37" t="s">
        <v>90</v>
      </c>
      <c r="F10" s="40" t="s">
        <v>120</v>
      </c>
    </row>
    <row r="11" customFormat="false" ht="30" hidden="false" customHeight="true" outlineLevel="0" collapsed="false">
      <c r="B11" s="36" t="s">
        <v>121</v>
      </c>
      <c r="C11" s="9" t="s">
        <v>122</v>
      </c>
      <c r="D11" s="25" t="s">
        <v>123</v>
      </c>
      <c r="E11" s="37" t="s">
        <v>85</v>
      </c>
      <c r="F11" s="38" t="s">
        <v>124</v>
      </c>
    </row>
    <row r="12" customFormat="false" ht="30" hidden="false" customHeight="true" outlineLevel="0" collapsed="false">
      <c r="B12" s="39" t="s">
        <v>125</v>
      </c>
      <c r="C12" s="13" t="s">
        <v>126</v>
      </c>
      <c r="D12" s="28" t="s">
        <v>127</v>
      </c>
      <c r="E12" s="41" t="s">
        <v>128</v>
      </c>
      <c r="F12" s="40" t="s">
        <v>129</v>
      </c>
    </row>
    <row r="13" customFormat="false" ht="30" hidden="false" customHeight="true" outlineLevel="0" collapsed="false">
      <c r="B13" s="36" t="s">
        <v>130</v>
      </c>
      <c r="C13" s="9" t="s">
        <v>131</v>
      </c>
      <c r="D13" s="25" t="s">
        <v>132</v>
      </c>
      <c r="E13" s="37" t="s">
        <v>133</v>
      </c>
      <c r="F13" s="38" t="s">
        <v>134</v>
      </c>
    </row>
    <row r="14" customFormat="false" ht="19.5" hidden="false" customHeight="true" outlineLevel="0" collapsed="false">
      <c r="B14" s="42" t="s">
        <v>135</v>
      </c>
      <c r="C14" s="42"/>
      <c r="D14" s="42"/>
      <c r="E14" s="43" t="s">
        <v>136</v>
      </c>
      <c r="F14" s="44"/>
    </row>
  </sheetData>
  <mergeCells count="2">
    <mergeCell ref="B1:G1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20"/>
  </cols>
  <sheetData>
    <row r="1" customFormat="false" ht="24" hidden="false" customHeight="true" outlineLevel="0" collapsed="false">
      <c r="B1" s="22" t="s">
        <v>137</v>
      </c>
      <c r="C1" s="22"/>
      <c r="D1" s="22"/>
      <c r="E1" s="22"/>
      <c r="F1" s="22"/>
    </row>
    <row r="3" customFormat="false" ht="15.75" hidden="false" customHeight="true" outlineLevel="0" collapsed="false">
      <c r="B3" s="45" t="s">
        <v>138</v>
      </c>
      <c r="C3" s="45"/>
      <c r="D3" s="45"/>
      <c r="E3" s="45"/>
      <c r="F3" s="45"/>
    </row>
    <row r="4" customFormat="false" ht="15.75" hidden="false" customHeight="true" outlineLevel="0" collapsed="false">
      <c r="B4" s="6" t="s">
        <v>79</v>
      </c>
      <c r="C4" s="7" t="s">
        <v>139</v>
      </c>
      <c r="D4" s="7" t="s">
        <v>140</v>
      </c>
      <c r="E4" s="7" t="s">
        <v>141</v>
      </c>
      <c r="F4" s="7" t="s">
        <v>22</v>
      </c>
    </row>
    <row r="5" customFormat="false" ht="15.75" hidden="false" customHeight="true" outlineLevel="0" collapsed="false">
      <c r="B5" s="9" t="s">
        <v>142</v>
      </c>
      <c r="C5" s="10" t="n">
        <v>1.5</v>
      </c>
      <c r="D5" s="10" t="n">
        <v>10</v>
      </c>
      <c r="E5" s="46" t="n">
        <f aca="false">C5*D5</f>
        <v>15</v>
      </c>
      <c r="F5" s="47" t="s">
        <v>143</v>
      </c>
    </row>
    <row r="6" customFormat="false" ht="15.75" hidden="false" customHeight="true" outlineLevel="0" collapsed="false">
      <c r="B6" s="13" t="s">
        <v>144</v>
      </c>
      <c r="C6" s="14" t="n">
        <v>0.5</v>
      </c>
      <c r="D6" s="14" t="n">
        <v>10</v>
      </c>
      <c r="E6" s="48" t="n">
        <f aca="false">C6*D6</f>
        <v>5</v>
      </c>
      <c r="F6" s="49" t="s">
        <v>145</v>
      </c>
    </row>
    <row r="7" customFormat="false" ht="15.75" hidden="false" customHeight="true" outlineLevel="0" collapsed="false">
      <c r="B7" s="50" t="s">
        <v>146</v>
      </c>
      <c r="C7" s="51"/>
      <c r="D7" s="51"/>
      <c r="E7" s="52" t="n">
        <f aca="false">E5+E6</f>
        <v>20</v>
      </c>
      <c r="F7" s="53"/>
    </row>
    <row r="8" customFormat="false" ht="15.75" hidden="false" customHeight="true" outlineLevel="0" collapsed="false">
      <c r="B8" s="13" t="s">
        <v>147</v>
      </c>
      <c r="C8" s="14" t="n">
        <v>2</v>
      </c>
      <c r="D8" s="14" t="n">
        <v>1</v>
      </c>
      <c r="E8" s="48" t="n">
        <f aca="false">C8*D8</f>
        <v>2</v>
      </c>
      <c r="F8" s="49" t="s">
        <v>148</v>
      </c>
    </row>
    <row r="9" customFormat="false" ht="15.75" hidden="false" customHeight="true" outlineLevel="0" collapsed="false">
      <c r="B9" s="9" t="s">
        <v>149</v>
      </c>
      <c r="C9" s="10" t="n">
        <v>0.5</v>
      </c>
      <c r="D9" s="10" t="n">
        <v>1</v>
      </c>
      <c r="E9" s="46" t="n">
        <f aca="false">C9*D9</f>
        <v>0.5</v>
      </c>
      <c r="F9" s="47" t="s">
        <v>150</v>
      </c>
    </row>
    <row r="10" customFormat="false" ht="15.75" hidden="false" customHeight="true" outlineLevel="0" collapsed="false">
      <c r="B10" s="50" t="s">
        <v>151</v>
      </c>
      <c r="C10" s="51"/>
      <c r="D10" s="51"/>
      <c r="E10" s="52" t="n">
        <f aca="false">(E7+E8+E9)*0.3</f>
        <v>6.75</v>
      </c>
      <c r="F10" s="53" t="s">
        <v>152</v>
      </c>
    </row>
    <row r="11" customFormat="false" ht="15.75" hidden="false" customHeight="true" outlineLevel="0" collapsed="false">
      <c r="B11" s="54" t="s">
        <v>153</v>
      </c>
      <c r="C11" s="18"/>
      <c r="D11" s="18"/>
      <c r="E11" s="55" t="n">
        <f aca="false">E7+E8+E9+E10</f>
        <v>29.25</v>
      </c>
      <c r="F11" s="56" t="s">
        <v>154</v>
      </c>
    </row>
    <row r="14" customFormat="false" ht="15.75" hidden="false" customHeight="true" outlineLevel="0" collapsed="false">
      <c r="B14" s="45" t="s">
        <v>155</v>
      </c>
      <c r="C14" s="45"/>
      <c r="D14" s="45"/>
      <c r="E14" s="45"/>
      <c r="F14" s="45"/>
    </row>
    <row r="15" customFormat="false" ht="48" hidden="false" customHeight="true" outlineLevel="0" collapsed="false">
      <c r="B15" s="36" t="s">
        <v>156</v>
      </c>
      <c r="C15" s="57" t="s">
        <v>157</v>
      </c>
      <c r="D15" s="57"/>
      <c r="E15" s="57"/>
      <c r="F15" s="57"/>
    </row>
    <row r="16" customFormat="false" ht="48" hidden="false" customHeight="true" outlineLevel="0" collapsed="false">
      <c r="B16" s="39" t="s">
        <v>158</v>
      </c>
      <c r="C16" s="58" t="s">
        <v>159</v>
      </c>
      <c r="D16" s="58"/>
      <c r="E16" s="58"/>
      <c r="F16" s="58"/>
    </row>
    <row r="17" customFormat="false" ht="48" hidden="false" customHeight="true" outlineLevel="0" collapsed="false">
      <c r="B17" s="36" t="s">
        <v>160</v>
      </c>
      <c r="C17" s="57" t="s">
        <v>161</v>
      </c>
      <c r="D17" s="57"/>
      <c r="E17" s="57"/>
      <c r="F17" s="57"/>
    </row>
    <row r="18" customFormat="false" ht="48" hidden="false" customHeight="true" outlineLevel="0" collapsed="false">
      <c r="B18" s="39" t="s">
        <v>162</v>
      </c>
      <c r="C18" s="58" t="s">
        <v>163</v>
      </c>
      <c r="D18" s="58"/>
      <c r="E18" s="58"/>
      <c r="F18" s="58"/>
    </row>
  </sheetData>
  <mergeCells count="7">
    <mergeCell ref="B1:F1"/>
    <mergeCell ref="B3:F3"/>
    <mergeCell ref="B14:F14"/>
    <mergeCell ref="C15:F15"/>
    <mergeCell ref="C16:F16"/>
    <mergeCell ref="C17:F17"/>
    <mergeCell ref="C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24" hidden="false" customHeight="true" outlineLevel="0" collapsed="false">
      <c r="B1" s="22" t="s">
        <v>164</v>
      </c>
      <c r="C1" s="22"/>
      <c r="D1" s="22"/>
      <c r="E1" s="22"/>
      <c r="F1" s="22"/>
    </row>
    <row r="2" customFormat="false" ht="18" hidden="false" customHeight="true" outlineLevel="0" collapsed="false">
      <c r="B2" s="6" t="s">
        <v>165</v>
      </c>
      <c r="C2" s="6" t="s">
        <v>5</v>
      </c>
      <c r="D2" s="7" t="s">
        <v>166</v>
      </c>
      <c r="E2" s="7" t="s">
        <v>167</v>
      </c>
      <c r="F2" s="6" t="s">
        <v>22</v>
      </c>
    </row>
    <row r="3" customFormat="false" ht="51.75" hidden="false" customHeight="true" outlineLevel="0" collapsed="false">
      <c r="B3" s="59" t="s">
        <v>168</v>
      </c>
      <c r="C3" s="60" t="s">
        <v>169</v>
      </c>
      <c r="D3" s="61" t="s">
        <v>170</v>
      </c>
      <c r="E3" s="62" t="s">
        <v>171</v>
      </c>
      <c r="F3" s="63" t="s">
        <v>172</v>
      </c>
    </row>
    <row r="4" customFormat="false" ht="51.75" hidden="false" customHeight="true" outlineLevel="0" collapsed="false">
      <c r="B4" s="39" t="s">
        <v>173</v>
      </c>
      <c r="C4" s="64" t="s">
        <v>174</v>
      </c>
      <c r="D4" s="14" t="s">
        <v>175</v>
      </c>
      <c r="E4" s="65" t="s">
        <v>171</v>
      </c>
      <c r="F4" s="66" t="s">
        <v>176</v>
      </c>
    </row>
    <row r="5" customFormat="false" ht="51.75" hidden="false" customHeight="true" outlineLevel="0" collapsed="false">
      <c r="B5" s="36" t="s">
        <v>177</v>
      </c>
      <c r="C5" s="67" t="s">
        <v>178</v>
      </c>
      <c r="D5" s="10" t="s">
        <v>179</v>
      </c>
      <c r="E5" s="68" t="s">
        <v>171</v>
      </c>
      <c r="F5" s="69" t="s">
        <v>180</v>
      </c>
    </row>
    <row r="6" customFormat="false" ht="51.75" hidden="false" customHeight="true" outlineLevel="0" collapsed="false">
      <c r="B6" s="39" t="s">
        <v>181</v>
      </c>
      <c r="C6" s="64" t="s">
        <v>182</v>
      </c>
      <c r="D6" s="14" t="s">
        <v>171</v>
      </c>
      <c r="E6" s="70" t="s">
        <v>183</v>
      </c>
      <c r="F6" s="66" t="s">
        <v>184</v>
      </c>
    </row>
    <row r="7" customFormat="false" ht="51.75" hidden="false" customHeight="true" outlineLevel="0" collapsed="false">
      <c r="B7" s="36" t="s">
        <v>185</v>
      </c>
      <c r="C7" s="67" t="s">
        <v>186</v>
      </c>
      <c r="D7" s="10" t="s">
        <v>171</v>
      </c>
      <c r="E7" s="71" t="s">
        <v>187</v>
      </c>
      <c r="F7" s="69" t="s">
        <v>188</v>
      </c>
    </row>
    <row r="8" customFormat="false" ht="51.75" hidden="false" customHeight="true" outlineLevel="0" collapsed="false">
      <c r="B8" s="39" t="s">
        <v>189</v>
      </c>
      <c r="C8" s="64" t="s">
        <v>190</v>
      </c>
      <c r="D8" s="14" t="s">
        <v>191</v>
      </c>
      <c r="E8" s="65" t="s">
        <v>171</v>
      </c>
      <c r="F8" s="66" t="s">
        <v>192</v>
      </c>
    </row>
  </sheetData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2026-03-23T12:07:36Z</dcterms:created>
  <dc:creator>openpyxl</dc:creator>
  <dc:description/>
  <dc:language>en-US</dc:language>
  <cp:lastModifiedBy/>
  <dcterms:modified xsi:type="dcterms:W3CDTF">2026-03-23T12:07:36Z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